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EVY FOLDER\PROJETS_LOGICIELS\BULLETIN EXCEL_VBA\"/>
    </mc:Choice>
  </mc:AlternateContent>
  <xr:revisionPtr revIDLastSave="0" documentId="13_ncr:1_{0648810A-88CC-47B7-AC05-2C62ABA96AED}" xr6:coauthVersionLast="47" xr6:coauthVersionMax="47" xr10:uidLastSave="{00000000-0000-0000-0000-000000000000}"/>
  <bookViews>
    <workbookView xWindow="-120" yWindow="-120" windowWidth="20730" windowHeight="11310" tabRatio="740" activeTab="6" xr2:uid="{7A45059F-C01C-4A35-A956-DFA6E391A84F}"/>
  </bookViews>
  <sheets>
    <sheet name="LOG" sheetId="16" r:id="rId1"/>
    <sheet name="P1" sheetId="4" r:id="rId2"/>
    <sheet name="P2" sheetId="6" r:id="rId3"/>
    <sheet name="EXAM1" sheetId="9" r:id="rId4"/>
    <sheet name="SEM1" sheetId="11" r:id="rId5"/>
    <sheet name="P3" sheetId="7" r:id="rId6"/>
    <sheet name="DashBoard" sheetId="1" r:id="rId7"/>
    <sheet name="P4" sheetId="8" r:id="rId8"/>
    <sheet name="EXAM2" sheetId="10" r:id="rId9"/>
    <sheet name="SEM2" sheetId="12" r:id="rId10"/>
    <sheet name="TOT" sheetId="13" r:id="rId11"/>
    <sheet name="Bulletin" sheetId="5" r:id="rId12"/>
    <sheet name="Eleves" sheetId="3" r:id="rId13"/>
    <sheet name="LPR" sheetId="18" r:id="rId14"/>
    <sheet name="PROC1" sheetId="15" r:id="rId15"/>
    <sheet name="ModelFiche" sheetId="2" r:id="rId16"/>
  </sheets>
  <functionGroups builtInGroupCount="19"/>
  <definedNames>
    <definedName name="_xlnm._FilterDatabase" localSheetId="6" hidden="1">DashBoard!$B$6:$F$110</definedName>
    <definedName name="D_EX">#REF!</definedName>
    <definedName name="DP">#REF!</definedName>
    <definedName name="ELEV_ACTIF_LIST">DashBoard!$C$7:$F$110</definedName>
    <definedName name="ELEV_NS">Eleves!$C$8:$C$120</definedName>
    <definedName name="ELEVES">Eleves!$B$8:$F$120</definedName>
    <definedName name="EXAM_1">EXAM1!$A$17:$AD$122</definedName>
    <definedName name="EXAM_2">EXAM2!$A$17:$AD$122</definedName>
    <definedName name="LIST_MAT_ACTIFS">DashBoard!$C$7:$C$110</definedName>
    <definedName name="MAT_LIST">Eleves!$B$8:$B$120</definedName>
    <definedName name="P_EX">#REF!</definedName>
    <definedName name="plce">#REF!</definedName>
    <definedName name="PR_1">'P1'!$A$17:$AD$122</definedName>
    <definedName name="PR_2">'P2'!$B$17:$AD$122</definedName>
    <definedName name="PR_22">'P2'!$A$17:$AD$122</definedName>
    <definedName name="PR_3">'P3'!$A$17:$AD$122</definedName>
    <definedName name="PR_4">'P4'!$A$17:$AD$122</definedName>
    <definedName name="PR_éé">'P2'!$A$17:$AD$122</definedName>
    <definedName name="QTP">#REF!</definedName>
    <definedName name="SEM_1">'SEM1'!$A$17:$M$122</definedName>
    <definedName name="SEM_2" localSheetId="13">LPR!$A$17:$H$122</definedName>
    <definedName name="SEM_2" localSheetId="14">PROC1!$A$17:$I$122</definedName>
    <definedName name="SEM_2">'SEM2'!$A$17:$M$122</definedName>
    <definedName name="SEMESTRE1">#REF!</definedName>
    <definedName name="SEMESTRE2">#REF!</definedName>
    <definedName name="TOT">TOT!$A$17:$O$122</definedName>
    <definedName name="TRP">#REF!</definedName>
    <definedName name="_xlnm.Print_Area" localSheetId="11">Bulletin!$C$2:$Q$64</definedName>
    <definedName name="_xlnm.Print_Area" localSheetId="13">LPR!$A$1:$H$122</definedName>
    <definedName name="_xlnm.Print_Area" localSheetId="14">PROC1!$A$1:$I$122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" i="1" l="1"/>
  <c r="B4" i="15"/>
  <c r="B4" i="18"/>
  <c r="F18" i="15"/>
  <c r="F18" i="18"/>
  <c r="F17" i="15"/>
  <c r="F17" i="18"/>
  <c r="F22" i="15"/>
  <c r="F22" i="18"/>
  <c r="F19" i="15"/>
  <c r="F20" i="15"/>
  <c r="F21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9" i="18"/>
  <c r="F20" i="18"/>
  <c r="F21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A2" i="18"/>
  <c r="A2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M45" i="5"/>
  <c r="K45" i="5"/>
  <c r="H45" i="5"/>
  <c r="G45" i="5"/>
  <c r="I45" i="5"/>
  <c r="E45" i="5"/>
  <c r="K48" i="5"/>
  <c r="J48" i="5"/>
  <c r="I48" i="5"/>
  <c r="G48" i="5"/>
  <c r="I22" i="3"/>
  <c r="H22" i="3"/>
  <c r="I14" i="3"/>
  <c r="I18" i="3"/>
  <c r="H14" i="3"/>
  <c r="H18" i="3"/>
  <c r="J18" i="3" l="1"/>
  <c r="J22" i="3"/>
  <c r="J14" i="3"/>
  <c r="E48" i="5"/>
  <c r="E49" i="5"/>
  <c r="Z65" i="10"/>
  <c r="K49" i="5"/>
  <c r="J49" i="5"/>
  <c r="I49" i="5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7" i="12"/>
  <c r="L17" i="11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04" i="12"/>
  <c r="AD105" i="12"/>
  <c r="AD106" i="12"/>
  <c r="AD107" i="12"/>
  <c r="AD108" i="12"/>
  <c r="AD109" i="12"/>
  <c r="AD110" i="12"/>
  <c r="AD111" i="12"/>
  <c r="AD112" i="12"/>
  <c r="AD113" i="12"/>
  <c r="AD114" i="12"/>
  <c r="AD115" i="12"/>
  <c r="AD116" i="12"/>
  <c r="AD117" i="12"/>
  <c r="AD118" i="12"/>
  <c r="AD119" i="12"/>
  <c r="AD120" i="12"/>
  <c r="AD121" i="12"/>
  <c r="AD122" i="12"/>
  <c r="AC18" i="13"/>
  <c r="AC19" i="13"/>
  <c r="AC20" i="13"/>
  <c r="AC21" i="13"/>
  <c r="AC22" i="13"/>
  <c r="AC23" i="13"/>
  <c r="AC24" i="13"/>
  <c r="AC25" i="13"/>
  <c r="AC26" i="13"/>
  <c r="AC27" i="13"/>
  <c r="AC28" i="13"/>
  <c r="AC29" i="13"/>
  <c r="AC30" i="13"/>
  <c r="AC3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D17" i="12"/>
  <c r="AC17" i="13"/>
  <c r="K42" i="5"/>
  <c r="J42" i="5"/>
  <c r="I42" i="5"/>
  <c r="K40" i="5"/>
  <c r="K39" i="5"/>
  <c r="K38" i="5"/>
  <c r="K37" i="5"/>
  <c r="J40" i="5"/>
  <c r="J39" i="5"/>
  <c r="J38" i="5"/>
  <c r="J37" i="5"/>
  <c r="I40" i="5"/>
  <c r="I39" i="5"/>
  <c r="I38" i="5"/>
  <c r="I37" i="5"/>
  <c r="K35" i="5"/>
  <c r="K34" i="5"/>
  <c r="K33" i="5"/>
  <c r="K32" i="5"/>
  <c r="J35" i="5"/>
  <c r="J34" i="5"/>
  <c r="J33" i="5"/>
  <c r="J32" i="5"/>
  <c r="I35" i="5"/>
  <c r="I34" i="5"/>
  <c r="I33" i="5"/>
  <c r="I32" i="5"/>
  <c r="K30" i="5"/>
  <c r="K29" i="5"/>
  <c r="K28" i="5"/>
  <c r="K27" i="5"/>
  <c r="K26" i="5"/>
  <c r="K25" i="5"/>
  <c r="J30" i="5"/>
  <c r="J29" i="5"/>
  <c r="J28" i="5"/>
  <c r="J27" i="5"/>
  <c r="J26" i="5"/>
  <c r="I30" i="5"/>
  <c r="I29" i="5"/>
  <c r="I28" i="5"/>
  <c r="I27" i="5"/>
  <c r="I26" i="5"/>
  <c r="J25" i="5"/>
  <c r="I25" i="5"/>
  <c r="K23" i="5"/>
  <c r="J23" i="5"/>
  <c r="K20" i="5"/>
  <c r="J20" i="5"/>
  <c r="I23" i="5"/>
  <c r="G23" i="5"/>
  <c r="I20" i="5"/>
  <c r="G42" i="5"/>
  <c r="G40" i="5"/>
  <c r="G39" i="5"/>
  <c r="G38" i="5"/>
  <c r="G37" i="5"/>
  <c r="G35" i="5"/>
  <c r="G34" i="5"/>
  <c r="G33" i="5"/>
  <c r="G32" i="5"/>
  <c r="G30" i="5"/>
  <c r="G29" i="5"/>
  <c r="G28" i="5"/>
  <c r="G27" i="5"/>
  <c r="G26" i="5"/>
  <c r="G25" i="5"/>
  <c r="E42" i="5"/>
  <c r="F42" i="5"/>
  <c r="F40" i="5"/>
  <c r="F39" i="5"/>
  <c r="F38" i="5"/>
  <c r="F37" i="5"/>
  <c r="F35" i="5"/>
  <c r="F34" i="5"/>
  <c r="F33" i="5"/>
  <c r="F32" i="5"/>
  <c r="F23" i="5"/>
  <c r="F30" i="5"/>
  <c r="F29" i="5"/>
  <c r="F28" i="5"/>
  <c r="F27" i="5"/>
  <c r="F26" i="5"/>
  <c r="F25" i="5"/>
  <c r="G20" i="5"/>
  <c r="F20" i="5"/>
  <c r="E44" i="5"/>
  <c r="E40" i="5"/>
  <c r="E39" i="5"/>
  <c r="E38" i="5"/>
  <c r="E37" i="5"/>
  <c r="E35" i="5"/>
  <c r="E34" i="5"/>
  <c r="E33" i="5"/>
  <c r="E32" i="5"/>
  <c r="E30" i="5"/>
  <c r="E29" i="5"/>
  <c r="E28" i="5"/>
  <c r="E27" i="5"/>
  <c r="E26" i="5"/>
  <c r="E25" i="5"/>
  <c r="E23" i="5"/>
  <c r="E20" i="5"/>
  <c r="P10" i="5"/>
  <c r="K11" i="5"/>
  <c r="K10" i="5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37" i="13"/>
  <c r="L38" i="13"/>
  <c r="L39" i="13"/>
  <c r="L40" i="13"/>
  <c r="L41" i="13"/>
  <c r="L42" i="13"/>
  <c r="L43" i="13"/>
  <c r="L44" i="13"/>
  <c r="L45" i="13"/>
  <c r="L46" i="13"/>
  <c r="L47" i="13"/>
  <c r="L48" i="13"/>
  <c r="L49" i="13"/>
  <c r="L50" i="13"/>
  <c r="L51" i="13"/>
  <c r="L52" i="13"/>
  <c r="L53" i="13"/>
  <c r="L54" i="13"/>
  <c r="L55" i="13"/>
  <c r="L56" i="13"/>
  <c r="L57" i="13"/>
  <c r="L58" i="13"/>
  <c r="L59" i="13"/>
  <c r="L60" i="13"/>
  <c r="L61" i="13"/>
  <c r="L62" i="13"/>
  <c r="L63" i="13"/>
  <c r="L64" i="13"/>
  <c r="L65" i="13"/>
  <c r="L66" i="13"/>
  <c r="L67" i="13"/>
  <c r="L68" i="13"/>
  <c r="L69" i="13"/>
  <c r="L70" i="13"/>
  <c r="L71" i="13"/>
  <c r="L72" i="13"/>
  <c r="L73" i="13"/>
  <c r="L74" i="13"/>
  <c r="L75" i="13"/>
  <c r="L76" i="13"/>
  <c r="L77" i="13"/>
  <c r="L78" i="13"/>
  <c r="L79" i="13"/>
  <c r="L80" i="13"/>
  <c r="L81" i="13"/>
  <c r="L82" i="13"/>
  <c r="L83" i="13"/>
  <c r="L84" i="13"/>
  <c r="L85" i="13"/>
  <c r="L86" i="13"/>
  <c r="L87" i="13"/>
  <c r="L88" i="13"/>
  <c r="L89" i="13"/>
  <c r="L90" i="13"/>
  <c r="L91" i="13"/>
  <c r="L92" i="13"/>
  <c r="L93" i="13"/>
  <c r="L94" i="13"/>
  <c r="L95" i="13"/>
  <c r="L96" i="13"/>
  <c r="L97" i="13"/>
  <c r="L98" i="13"/>
  <c r="L99" i="13"/>
  <c r="L100" i="13"/>
  <c r="L101" i="13"/>
  <c r="L102" i="13"/>
  <c r="L103" i="13"/>
  <c r="L104" i="13"/>
  <c r="L105" i="13"/>
  <c r="L106" i="13"/>
  <c r="L107" i="13"/>
  <c r="L108" i="13"/>
  <c r="L109" i="13"/>
  <c r="L110" i="13"/>
  <c r="L111" i="13"/>
  <c r="L112" i="13"/>
  <c r="L113" i="13"/>
  <c r="L114" i="13"/>
  <c r="L115" i="13"/>
  <c r="L116" i="13"/>
  <c r="L117" i="13"/>
  <c r="L118" i="13"/>
  <c r="L119" i="13"/>
  <c r="L120" i="13"/>
  <c r="L121" i="13"/>
  <c r="L122" i="13"/>
  <c r="L17" i="13"/>
  <c r="I8" i="13"/>
  <c r="J8" i="13"/>
  <c r="K8" i="13"/>
  <c r="I9" i="13"/>
  <c r="J9" i="13"/>
  <c r="K9" i="13"/>
  <c r="I12" i="13"/>
  <c r="J12" i="13"/>
  <c r="K12" i="13"/>
  <c r="H12" i="13"/>
  <c r="G12" i="13"/>
  <c r="F12" i="13"/>
  <c r="H9" i="13"/>
  <c r="G9" i="13"/>
  <c r="F9" i="13"/>
  <c r="H8" i="13"/>
  <c r="G8" i="13"/>
  <c r="F8" i="13"/>
  <c r="B2" i="13"/>
  <c r="I122" i="12"/>
  <c r="I121" i="12"/>
  <c r="I120" i="12"/>
  <c r="I119" i="12"/>
  <c r="I118" i="12"/>
  <c r="I117" i="12"/>
  <c r="I116" i="12"/>
  <c r="I115" i="12"/>
  <c r="I114" i="12"/>
  <c r="I113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H12" i="12"/>
  <c r="G12" i="12"/>
  <c r="F12" i="12"/>
  <c r="H9" i="12"/>
  <c r="G9" i="12"/>
  <c r="F9" i="12"/>
  <c r="H8" i="12"/>
  <c r="G8" i="12"/>
  <c r="F8" i="12"/>
  <c r="B2" i="12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7" i="11"/>
  <c r="F8" i="11"/>
  <c r="G8" i="11"/>
  <c r="H8" i="11"/>
  <c r="F9" i="11"/>
  <c r="G9" i="11"/>
  <c r="H9" i="11"/>
  <c r="F12" i="11"/>
  <c r="G12" i="11"/>
  <c r="H12" i="11"/>
  <c r="H20" i="5" l="1"/>
  <c r="H25" i="5"/>
  <c r="H23" i="5"/>
  <c r="B2" i="11"/>
  <c r="G3" i="6"/>
  <c r="G3" i="9"/>
  <c r="G3" i="7"/>
  <c r="G3" i="8"/>
  <c r="G3" i="10"/>
  <c r="G3" i="4"/>
  <c r="X15" i="10"/>
  <c r="X7" i="10" s="1"/>
  <c r="X15" i="9"/>
  <c r="X6" i="9" s="1"/>
  <c r="W15" i="10"/>
  <c r="W6" i="10" s="1"/>
  <c r="W15" i="9"/>
  <c r="W7" i="9" s="1"/>
  <c r="V15" i="10"/>
  <c r="V7" i="10" s="1"/>
  <c r="V15" i="9"/>
  <c r="V7" i="9" s="1"/>
  <c r="U15" i="10"/>
  <c r="U6" i="10" s="1"/>
  <c r="U15" i="9"/>
  <c r="U6" i="9" s="1"/>
  <c r="T15" i="10"/>
  <c r="T7" i="10" s="1"/>
  <c r="T15" i="9"/>
  <c r="T6" i="9" s="1"/>
  <c r="S15" i="10"/>
  <c r="S7" i="10" s="1"/>
  <c r="S15" i="9"/>
  <c r="S7" i="9" s="1"/>
  <c r="R15" i="10"/>
  <c r="R7" i="10" s="1"/>
  <c r="R15" i="9"/>
  <c r="R7" i="9" s="1"/>
  <c r="Q15" i="10"/>
  <c r="Q7" i="10" s="1"/>
  <c r="Q15" i="9"/>
  <c r="Q6" i="9" s="1"/>
  <c r="P15" i="10"/>
  <c r="P7" i="10" s="1"/>
  <c r="P15" i="9"/>
  <c r="P6" i="9" s="1"/>
  <c r="O15" i="10"/>
  <c r="O15" i="9"/>
  <c r="O7" i="9" s="1"/>
  <c r="N15" i="10"/>
  <c r="N6" i="10" s="1"/>
  <c r="N15" i="9"/>
  <c r="N6" i="9" s="1"/>
  <c r="M15" i="10"/>
  <c r="M7" i="10" s="1"/>
  <c r="M15" i="9"/>
  <c r="M6" i="9" s="1"/>
  <c r="L15" i="10"/>
  <c r="L15" i="9"/>
  <c r="L7" i="9" s="1"/>
  <c r="K15" i="10"/>
  <c r="K7" i="10" s="1"/>
  <c r="K15" i="9"/>
  <c r="K7" i="9" s="1"/>
  <c r="J15" i="10"/>
  <c r="J7" i="10" s="1"/>
  <c r="J15" i="9"/>
  <c r="J7" i="9" s="1"/>
  <c r="I15" i="10"/>
  <c r="I15" i="9"/>
  <c r="G15" i="10"/>
  <c r="G7" i="10" s="1"/>
  <c r="G15" i="9"/>
  <c r="G6" i="9" s="1"/>
  <c r="AD122" i="10"/>
  <c r="Z122" i="10"/>
  <c r="AD121" i="10"/>
  <c r="Z121" i="10"/>
  <c r="AD120" i="10"/>
  <c r="Z120" i="10"/>
  <c r="AD119" i="10"/>
  <c r="Z119" i="10"/>
  <c r="AD118" i="10"/>
  <c r="Z118" i="10"/>
  <c r="AD117" i="10"/>
  <c r="Z117" i="10"/>
  <c r="AD116" i="10"/>
  <c r="Z116" i="10"/>
  <c r="AD115" i="10"/>
  <c r="Z115" i="10"/>
  <c r="AD114" i="10"/>
  <c r="Z114" i="10"/>
  <c r="AD113" i="10"/>
  <c r="Z113" i="10"/>
  <c r="AD112" i="10"/>
  <c r="Z112" i="10"/>
  <c r="AD111" i="10"/>
  <c r="Z111" i="10"/>
  <c r="AD110" i="10"/>
  <c r="Z110" i="10"/>
  <c r="AD109" i="10"/>
  <c r="Z109" i="10"/>
  <c r="AD108" i="10"/>
  <c r="Z108" i="10"/>
  <c r="AD107" i="10"/>
  <c r="Z107" i="10"/>
  <c r="AD106" i="10"/>
  <c r="Z106" i="10"/>
  <c r="AD105" i="10"/>
  <c r="Z105" i="10"/>
  <c r="AD104" i="10"/>
  <c r="Z104" i="10"/>
  <c r="AD103" i="10"/>
  <c r="Z103" i="10"/>
  <c r="AD102" i="10"/>
  <c r="Z102" i="10"/>
  <c r="AD101" i="10"/>
  <c r="Z101" i="10"/>
  <c r="AD100" i="10"/>
  <c r="Z100" i="10"/>
  <c r="AD99" i="10"/>
  <c r="Z99" i="10"/>
  <c r="AD98" i="10"/>
  <c r="Z98" i="10"/>
  <c r="AD97" i="10"/>
  <c r="Z97" i="10"/>
  <c r="AD96" i="10"/>
  <c r="Z96" i="10"/>
  <c r="AD95" i="10"/>
  <c r="Z95" i="10"/>
  <c r="AD94" i="10"/>
  <c r="Z94" i="10"/>
  <c r="AD93" i="10"/>
  <c r="Z93" i="10"/>
  <c r="AD92" i="10"/>
  <c r="Z92" i="10"/>
  <c r="AD91" i="10"/>
  <c r="Z91" i="10"/>
  <c r="AD90" i="10"/>
  <c r="Z90" i="10"/>
  <c r="AD89" i="10"/>
  <c r="Z89" i="10"/>
  <c r="AD88" i="10"/>
  <c r="Z88" i="10"/>
  <c r="AD87" i="10"/>
  <c r="Z87" i="10"/>
  <c r="AD86" i="10"/>
  <c r="Z86" i="10"/>
  <c r="AD85" i="10"/>
  <c r="Z85" i="10"/>
  <c r="AD84" i="10"/>
  <c r="Z84" i="10"/>
  <c r="AD83" i="10"/>
  <c r="Z83" i="10"/>
  <c r="AD82" i="10"/>
  <c r="Z82" i="10"/>
  <c r="AD81" i="10"/>
  <c r="Z81" i="10"/>
  <c r="AD80" i="10"/>
  <c r="Z80" i="10"/>
  <c r="AD79" i="10"/>
  <c r="Z79" i="10"/>
  <c r="AD78" i="10"/>
  <c r="Z78" i="10"/>
  <c r="AD77" i="10"/>
  <c r="Z77" i="10"/>
  <c r="AD76" i="10"/>
  <c r="Z76" i="10"/>
  <c r="AD75" i="10"/>
  <c r="Z75" i="10"/>
  <c r="AD74" i="10"/>
  <c r="Z74" i="10"/>
  <c r="AD73" i="10"/>
  <c r="Z73" i="10"/>
  <c r="AD72" i="10"/>
  <c r="Z72" i="10"/>
  <c r="AD71" i="10"/>
  <c r="Z71" i="10"/>
  <c r="AD70" i="10"/>
  <c r="Z70" i="10"/>
  <c r="AD69" i="10"/>
  <c r="Z69" i="10"/>
  <c r="AD68" i="10"/>
  <c r="Z68" i="10"/>
  <c r="AD67" i="10"/>
  <c r="Z67" i="10"/>
  <c r="AD66" i="10"/>
  <c r="Z66" i="10"/>
  <c r="AD65" i="10"/>
  <c r="AD64" i="10"/>
  <c r="Z64" i="10"/>
  <c r="AD63" i="10"/>
  <c r="Z63" i="10"/>
  <c r="AD62" i="10"/>
  <c r="Z62" i="10"/>
  <c r="AD61" i="10"/>
  <c r="Z61" i="10"/>
  <c r="AD60" i="10"/>
  <c r="Z60" i="10"/>
  <c r="AD59" i="10"/>
  <c r="Z59" i="10"/>
  <c r="AD58" i="10"/>
  <c r="Z58" i="10"/>
  <c r="AD57" i="10"/>
  <c r="Z57" i="10"/>
  <c r="AD56" i="10"/>
  <c r="Z56" i="10"/>
  <c r="AD55" i="10"/>
  <c r="Z55" i="10"/>
  <c r="AD54" i="10"/>
  <c r="Z54" i="10"/>
  <c r="AD53" i="10"/>
  <c r="Z53" i="10"/>
  <c r="AD52" i="10"/>
  <c r="Z52" i="10"/>
  <c r="AD51" i="10"/>
  <c r="Z51" i="10"/>
  <c r="AD50" i="10"/>
  <c r="Z50" i="10"/>
  <c r="AD49" i="10"/>
  <c r="Z49" i="10"/>
  <c r="AD48" i="10"/>
  <c r="Z48" i="10"/>
  <c r="AD47" i="10"/>
  <c r="Z47" i="10"/>
  <c r="AD46" i="10"/>
  <c r="Z46" i="10"/>
  <c r="AD45" i="10"/>
  <c r="Z45" i="10"/>
  <c r="AD44" i="10"/>
  <c r="Z44" i="10"/>
  <c r="AD43" i="10"/>
  <c r="Z43" i="10"/>
  <c r="AD42" i="10"/>
  <c r="Z42" i="10"/>
  <c r="AD41" i="10"/>
  <c r="Z41" i="10"/>
  <c r="AD40" i="10"/>
  <c r="Z40" i="10"/>
  <c r="AD39" i="10"/>
  <c r="Z39" i="10"/>
  <c r="AD38" i="10"/>
  <c r="Z38" i="10"/>
  <c r="AD37" i="10"/>
  <c r="Z37" i="10"/>
  <c r="AD36" i="10"/>
  <c r="Z36" i="10"/>
  <c r="AD35" i="10"/>
  <c r="Z35" i="10"/>
  <c r="AD34" i="10"/>
  <c r="Z34" i="10"/>
  <c r="AD33" i="10"/>
  <c r="Z33" i="10"/>
  <c r="AD32" i="10"/>
  <c r="Z32" i="10"/>
  <c r="AD31" i="10"/>
  <c r="Z31" i="10"/>
  <c r="AD30" i="10"/>
  <c r="Z30" i="10"/>
  <c r="AD29" i="10"/>
  <c r="Z29" i="10"/>
  <c r="AD28" i="10"/>
  <c r="Z28" i="10"/>
  <c r="AD27" i="10"/>
  <c r="Z27" i="10"/>
  <c r="AD26" i="10"/>
  <c r="Z26" i="10"/>
  <c r="AD25" i="10"/>
  <c r="Z25" i="10"/>
  <c r="AD24" i="10"/>
  <c r="Z24" i="10"/>
  <c r="AD23" i="10"/>
  <c r="Z23" i="10"/>
  <c r="AD22" i="10"/>
  <c r="Z22" i="10"/>
  <c r="AD21" i="10"/>
  <c r="Z21" i="10"/>
  <c r="AD20" i="10"/>
  <c r="Z20" i="10"/>
  <c r="AD19" i="10"/>
  <c r="Z19" i="10"/>
  <c r="AD18" i="10"/>
  <c r="Z18" i="10"/>
  <c r="AD17" i="10"/>
  <c r="Z17" i="10"/>
  <c r="L7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G12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G9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G8" i="10"/>
  <c r="W7" i="10"/>
  <c r="U7" i="10"/>
  <c r="O7" i="10"/>
  <c r="N7" i="10"/>
  <c r="I7" i="10"/>
  <c r="V6" i="10"/>
  <c r="Q6" i="10"/>
  <c r="O6" i="10"/>
  <c r="I6" i="10"/>
  <c r="B2" i="10"/>
  <c r="AD122" i="9"/>
  <c r="Z122" i="9"/>
  <c r="AD121" i="9"/>
  <c r="Z121" i="9"/>
  <c r="AD120" i="9"/>
  <c r="Z120" i="9"/>
  <c r="AD119" i="9"/>
  <c r="Z119" i="9"/>
  <c r="AD118" i="9"/>
  <c r="Z118" i="9"/>
  <c r="AD117" i="9"/>
  <c r="Z117" i="9"/>
  <c r="AD116" i="9"/>
  <c r="Z116" i="9"/>
  <c r="AD115" i="9"/>
  <c r="Z115" i="9"/>
  <c r="AD114" i="9"/>
  <c r="Z114" i="9"/>
  <c r="AD113" i="9"/>
  <c r="Z113" i="9"/>
  <c r="AD112" i="9"/>
  <c r="Z112" i="9"/>
  <c r="AD111" i="9"/>
  <c r="Z111" i="9"/>
  <c r="AD110" i="9"/>
  <c r="Z110" i="9"/>
  <c r="AD109" i="9"/>
  <c r="Z109" i="9"/>
  <c r="AD108" i="9"/>
  <c r="Z108" i="9"/>
  <c r="AD107" i="9"/>
  <c r="Z107" i="9"/>
  <c r="AD106" i="9"/>
  <c r="Z106" i="9"/>
  <c r="AD105" i="9"/>
  <c r="Z105" i="9"/>
  <c r="AD104" i="9"/>
  <c r="Z104" i="9"/>
  <c r="AD103" i="9"/>
  <c r="Z103" i="9"/>
  <c r="AD102" i="9"/>
  <c r="Z102" i="9"/>
  <c r="AD101" i="9"/>
  <c r="Z101" i="9"/>
  <c r="AD100" i="9"/>
  <c r="Z100" i="9"/>
  <c r="AD99" i="9"/>
  <c r="Z99" i="9"/>
  <c r="AD98" i="9"/>
  <c r="Z98" i="9"/>
  <c r="AD97" i="9"/>
  <c r="Z97" i="9"/>
  <c r="AD96" i="9"/>
  <c r="Z96" i="9"/>
  <c r="AD95" i="9"/>
  <c r="Z95" i="9"/>
  <c r="AD94" i="9"/>
  <c r="Z94" i="9"/>
  <c r="AD93" i="9"/>
  <c r="Z93" i="9"/>
  <c r="AD92" i="9"/>
  <c r="Z92" i="9"/>
  <c r="AD91" i="9"/>
  <c r="Z91" i="9"/>
  <c r="AD90" i="9"/>
  <c r="Z90" i="9"/>
  <c r="AD89" i="9"/>
  <c r="Z89" i="9"/>
  <c r="AD88" i="9"/>
  <c r="Z88" i="9"/>
  <c r="AD87" i="9"/>
  <c r="Z87" i="9"/>
  <c r="AD86" i="9"/>
  <c r="Z86" i="9"/>
  <c r="AD85" i="9"/>
  <c r="Z85" i="9"/>
  <c r="AD84" i="9"/>
  <c r="Z84" i="9"/>
  <c r="AD83" i="9"/>
  <c r="Z83" i="9"/>
  <c r="AD82" i="9"/>
  <c r="Z82" i="9"/>
  <c r="AD81" i="9"/>
  <c r="Z81" i="9"/>
  <c r="AD80" i="9"/>
  <c r="Z80" i="9"/>
  <c r="AD79" i="9"/>
  <c r="Z79" i="9"/>
  <c r="AD78" i="9"/>
  <c r="Z78" i="9"/>
  <c r="AD77" i="9"/>
  <c r="Z77" i="9"/>
  <c r="AD76" i="9"/>
  <c r="Z76" i="9"/>
  <c r="AD75" i="9"/>
  <c r="Z75" i="9"/>
  <c r="AD74" i="9"/>
  <c r="Z74" i="9"/>
  <c r="AD73" i="9"/>
  <c r="Z73" i="9"/>
  <c r="AD72" i="9"/>
  <c r="Z72" i="9"/>
  <c r="AD71" i="9"/>
  <c r="Z71" i="9"/>
  <c r="AD70" i="9"/>
  <c r="Z70" i="9"/>
  <c r="AD69" i="9"/>
  <c r="Z69" i="9"/>
  <c r="AD68" i="9"/>
  <c r="Z68" i="9"/>
  <c r="AD67" i="9"/>
  <c r="Z67" i="9"/>
  <c r="AD66" i="9"/>
  <c r="Z66" i="9"/>
  <c r="AD65" i="9"/>
  <c r="Z65" i="9"/>
  <c r="AD64" i="9"/>
  <c r="Z64" i="9"/>
  <c r="AD63" i="9"/>
  <c r="Z63" i="9"/>
  <c r="AD62" i="9"/>
  <c r="Z62" i="9"/>
  <c r="AD61" i="9"/>
  <c r="Z61" i="9"/>
  <c r="AD60" i="9"/>
  <c r="Z60" i="9"/>
  <c r="AD59" i="9"/>
  <c r="Z59" i="9"/>
  <c r="AD58" i="9"/>
  <c r="Z58" i="9"/>
  <c r="AD57" i="9"/>
  <c r="Z57" i="9"/>
  <c r="AD56" i="9"/>
  <c r="Z56" i="9"/>
  <c r="AD55" i="9"/>
  <c r="Z55" i="9"/>
  <c r="AD54" i="9"/>
  <c r="Z54" i="9"/>
  <c r="AD53" i="9"/>
  <c r="Z53" i="9"/>
  <c r="AD52" i="9"/>
  <c r="Z52" i="9"/>
  <c r="AD51" i="9"/>
  <c r="Z51" i="9"/>
  <c r="AD50" i="9"/>
  <c r="Z50" i="9"/>
  <c r="AD49" i="9"/>
  <c r="Z49" i="9"/>
  <c r="AD48" i="9"/>
  <c r="Z48" i="9"/>
  <c r="AD47" i="9"/>
  <c r="Z47" i="9"/>
  <c r="AD46" i="9"/>
  <c r="Z46" i="9"/>
  <c r="AD45" i="9"/>
  <c r="Z45" i="9"/>
  <c r="AD44" i="9"/>
  <c r="Z44" i="9"/>
  <c r="AD43" i="9"/>
  <c r="Z43" i="9"/>
  <c r="AD42" i="9"/>
  <c r="Z42" i="9"/>
  <c r="AD41" i="9"/>
  <c r="Z41" i="9"/>
  <c r="AD40" i="9"/>
  <c r="Z40" i="9"/>
  <c r="AD39" i="9"/>
  <c r="Z39" i="9"/>
  <c r="AD38" i="9"/>
  <c r="Z38" i="9"/>
  <c r="AD37" i="9"/>
  <c r="Z37" i="9"/>
  <c r="AD36" i="9"/>
  <c r="Z36" i="9"/>
  <c r="AD35" i="9"/>
  <c r="Z35" i="9"/>
  <c r="AD34" i="9"/>
  <c r="Z34" i="9"/>
  <c r="AD33" i="9"/>
  <c r="Z33" i="9"/>
  <c r="AD32" i="9"/>
  <c r="Z32" i="9"/>
  <c r="AD31" i="9"/>
  <c r="Z31" i="9"/>
  <c r="AD30" i="9"/>
  <c r="Z30" i="9"/>
  <c r="AD29" i="9"/>
  <c r="Z29" i="9"/>
  <c r="AD28" i="9"/>
  <c r="Z28" i="9"/>
  <c r="AD27" i="9"/>
  <c r="Z27" i="9"/>
  <c r="AD26" i="9"/>
  <c r="Z26" i="9"/>
  <c r="AD25" i="9"/>
  <c r="Z25" i="9"/>
  <c r="AD24" i="9"/>
  <c r="Z24" i="9"/>
  <c r="AD23" i="9"/>
  <c r="Z23" i="9"/>
  <c r="AD22" i="9"/>
  <c r="Z22" i="9"/>
  <c r="AD21" i="9"/>
  <c r="Z21" i="9"/>
  <c r="AD20" i="9"/>
  <c r="Z20" i="9"/>
  <c r="AD19" i="9"/>
  <c r="Z19" i="9"/>
  <c r="AD18" i="9"/>
  <c r="Z18" i="9"/>
  <c r="AD17" i="9"/>
  <c r="Z17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G12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G9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G8" i="9"/>
  <c r="Q7" i="9"/>
  <c r="N7" i="9"/>
  <c r="M7" i="9"/>
  <c r="I6" i="9"/>
  <c r="B2" i="9"/>
  <c r="AD122" i="8"/>
  <c r="Z122" i="8"/>
  <c r="AD121" i="8"/>
  <c r="Z121" i="8"/>
  <c r="AD120" i="8"/>
  <c r="Z120" i="8"/>
  <c r="AD119" i="8"/>
  <c r="Z119" i="8"/>
  <c r="AD118" i="8"/>
  <c r="Z118" i="8"/>
  <c r="AD117" i="8"/>
  <c r="Z117" i="8"/>
  <c r="AD116" i="8"/>
  <c r="Z116" i="8"/>
  <c r="AD115" i="8"/>
  <c r="Z115" i="8"/>
  <c r="AD114" i="8"/>
  <c r="Z114" i="8"/>
  <c r="AD113" i="8"/>
  <c r="Z113" i="8"/>
  <c r="AD112" i="8"/>
  <c r="Z112" i="8"/>
  <c r="AD111" i="8"/>
  <c r="Z111" i="8"/>
  <c r="AD110" i="8"/>
  <c r="Z110" i="8"/>
  <c r="AD109" i="8"/>
  <c r="Z109" i="8"/>
  <c r="AD108" i="8"/>
  <c r="Z108" i="8"/>
  <c r="AD107" i="8"/>
  <c r="Z107" i="8"/>
  <c r="AD106" i="8"/>
  <c r="Z106" i="8"/>
  <c r="AD105" i="8"/>
  <c r="Z105" i="8"/>
  <c r="AD104" i="8"/>
  <c r="Z104" i="8"/>
  <c r="AD103" i="8"/>
  <c r="Z103" i="8"/>
  <c r="AD102" i="8"/>
  <c r="Z102" i="8"/>
  <c r="AD101" i="8"/>
  <c r="Z101" i="8"/>
  <c r="AD100" i="8"/>
  <c r="Z100" i="8"/>
  <c r="AD99" i="8"/>
  <c r="Z99" i="8"/>
  <c r="AD98" i="8"/>
  <c r="Z98" i="8"/>
  <c r="AD97" i="8"/>
  <c r="Z97" i="8"/>
  <c r="AD96" i="8"/>
  <c r="Z96" i="8"/>
  <c r="AD95" i="8"/>
  <c r="Z95" i="8"/>
  <c r="AD94" i="8"/>
  <c r="Z94" i="8"/>
  <c r="AD93" i="8"/>
  <c r="Z93" i="8"/>
  <c r="AD92" i="8"/>
  <c r="Z92" i="8"/>
  <c r="AD91" i="8"/>
  <c r="Z91" i="8"/>
  <c r="AD90" i="8"/>
  <c r="Z90" i="8"/>
  <c r="AD89" i="8"/>
  <c r="Z89" i="8"/>
  <c r="AD88" i="8"/>
  <c r="Z88" i="8"/>
  <c r="AD87" i="8"/>
  <c r="Z87" i="8"/>
  <c r="AD86" i="8"/>
  <c r="Z86" i="8"/>
  <c r="AD85" i="8"/>
  <c r="Z85" i="8"/>
  <c r="AD84" i="8"/>
  <c r="Z84" i="8"/>
  <c r="AD83" i="8"/>
  <c r="Z83" i="8"/>
  <c r="AD82" i="8"/>
  <c r="Z82" i="8"/>
  <c r="AD81" i="8"/>
  <c r="Z81" i="8"/>
  <c r="AD80" i="8"/>
  <c r="Z80" i="8"/>
  <c r="AD79" i="8"/>
  <c r="Z79" i="8"/>
  <c r="AD78" i="8"/>
  <c r="Z78" i="8"/>
  <c r="AD77" i="8"/>
  <c r="Z77" i="8"/>
  <c r="AD76" i="8"/>
  <c r="Z76" i="8"/>
  <c r="AD75" i="8"/>
  <c r="Z75" i="8"/>
  <c r="AD74" i="8"/>
  <c r="Z74" i="8"/>
  <c r="AD73" i="8"/>
  <c r="Z73" i="8"/>
  <c r="AD72" i="8"/>
  <c r="Z72" i="8"/>
  <c r="AD71" i="8"/>
  <c r="Z71" i="8"/>
  <c r="AD70" i="8"/>
  <c r="Z70" i="8"/>
  <c r="AD69" i="8"/>
  <c r="Z69" i="8"/>
  <c r="AD68" i="8"/>
  <c r="Z68" i="8"/>
  <c r="AD67" i="8"/>
  <c r="Z67" i="8"/>
  <c r="AD66" i="8"/>
  <c r="Z66" i="8"/>
  <c r="AD65" i="8"/>
  <c r="Z65" i="8"/>
  <c r="AD64" i="8"/>
  <c r="Z64" i="8"/>
  <c r="AD63" i="8"/>
  <c r="Z63" i="8"/>
  <c r="AD62" i="8"/>
  <c r="Z62" i="8"/>
  <c r="AD61" i="8"/>
  <c r="Z61" i="8"/>
  <c r="AD60" i="8"/>
  <c r="Z60" i="8"/>
  <c r="AD59" i="8"/>
  <c r="Z59" i="8"/>
  <c r="AD58" i="8"/>
  <c r="Z58" i="8"/>
  <c r="AD57" i="8"/>
  <c r="Z57" i="8"/>
  <c r="AD56" i="8"/>
  <c r="Z56" i="8"/>
  <c r="AD55" i="8"/>
  <c r="Z55" i="8"/>
  <c r="AD54" i="8"/>
  <c r="Z54" i="8"/>
  <c r="AD53" i="8"/>
  <c r="Z53" i="8"/>
  <c r="AD52" i="8"/>
  <c r="Z52" i="8"/>
  <c r="AD51" i="8"/>
  <c r="Z51" i="8"/>
  <c r="AD50" i="8"/>
  <c r="Z50" i="8"/>
  <c r="AD49" i="8"/>
  <c r="Z49" i="8"/>
  <c r="AD48" i="8"/>
  <c r="Z48" i="8"/>
  <c r="AD47" i="8"/>
  <c r="Z47" i="8"/>
  <c r="AD46" i="8"/>
  <c r="Z46" i="8"/>
  <c r="AD45" i="8"/>
  <c r="Z45" i="8"/>
  <c r="AD44" i="8"/>
  <c r="Z44" i="8"/>
  <c r="AD43" i="8"/>
  <c r="Z43" i="8"/>
  <c r="AD42" i="8"/>
  <c r="Z42" i="8"/>
  <c r="AD41" i="8"/>
  <c r="Z41" i="8"/>
  <c r="AD40" i="8"/>
  <c r="Z40" i="8"/>
  <c r="AD39" i="8"/>
  <c r="Z39" i="8"/>
  <c r="AD38" i="8"/>
  <c r="Z38" i="8"/>
  <c r="AD37" i="8"/>
  <c r="Z37" i="8"/>
  <c r="AD36" i="8"/>
  <c r="Z36" i="8"/>
  <c r="AD35" i="8"/>
  <c r="Z35" i="8"/>
  <c r="AD34" i="8"/>
  <c r="Z34" i="8"/>
  <c r="AD33" i="8"/>
  <c r="Z33" i="8"/>
  <c r="AD32" i="8"/>
  <c r="Z32" i="8"/>
  <c r="AD31" i="8"/>
  <c r="Z31" i="8"/>
  <c r="AD30" i="8"/>
  <c r="Z30" i="8"/>
  <c r="AD29" i="8"/>
  <c r="Z29" i="8"/>
  <c r="AD28" i="8"/>
  <c r="Z28" i="8"/>
  <c r="AD27" i="8"/>
  <c r="Z27" i="8"/>
  <c r="AD26" i="8"/>
  <c r="Z26" i="8"/>
  <c r="AD25" i="8"/>
  <c r="Z25" i="8"/>
  <c r="AD24" i="8"/>
  <c r="Z24" i="8"/>
  <c r="AD23" i="8"/>
  <c r="Z23" i="8"/>
  <c r="AD22" i="8"/>
  <c r="Z22" i="8"/>
  <c r="AD21" i="8"/>
  <c r="Z21" i="8"/>
  <c r="AD20" i="8"/>
  <c r="Z20" i="8"/>
  <c r="AD19" i="8"/>
  <c r="Z19" i="8"/>
  <c r="AD18" i="8"/>
  <c r="Z18" i="8"/>
  <c r="AD17" i="8"/>
  <c r="Z17" i="8"/>
  <c r="X15" i="8"/>
  <c r="X7" i="8" s="1"/>
  <c r="W15" i="8"/>
  <c r="W7" i="8" s="1"/>
  <c r="V15" i="8"/>
  <c r="V6" i="8" s="1"/>
  <c r="U15" i="8"/>
  <c r="U6" i="8" s="1"/>
  <c r="T15" i="8"/>
  <c r="T7" i="8" s="1"/>
  <c r="S15" i="8"/>
  <c r="S7" i="8" s="1"/>
  <c r="R15" i="8"/>
  <c r="R7" i="8" s="1"/>
  <c r="Q15" i="8"/>
  <c r="Q6" i="8" s="1"/>
  <c r="P15" i="8"/>
  <c r="P7" i="8" s="1"/>
  <c r="O15" i="8"/>
  <c r="O7" i="8" s="1"/>
  <c r="N15" i="8"/>
  <c r="N6" i="8" s="1"/>
  <c r="M15" i="8"/>
  <c r="M6" i="8" s="1"/>
  <c r="L15" i="8"/>
  <c r="L7" i="8" s="1"/>
  <c r="K15" i="8"/>
  <c r="K7" i="8" s="1"/>
  <c r="J15" i="8"/>
  <c r="J7" i="8" s="1"/>
  <c r="I15" i="8"/>
  <c r="I6" i="8" s="1"/>
  <c r="G15" i="8"/>
  <c r="G7" i="8" s="1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G12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G9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G8" i="8"/>
  <c r="I7" i="8"/>
  <c r="B2" i="8"/>
  <c r="AD122" i="7"/>
  <c r="Z122" i="7"/>
  <c r="AD121" i="7"/>
  <c r="Z121" i="7"/>
  <c r="AD120" i="7"/>
  <c r="Z120" i="7"/>
  <c r="AD119" i="7"/>
  <c r="Z119" i="7"/>
  <c r="AD118" i="7"/>
  <c r="Z118" i="7"/>
  <c r="AD117" i="7"/>
  <c r="Z117" i="7"/>
  <c r="AD116" i="7"/>
  <c r="Z116" i="7"/>
  <c r="AD115" i="7"/>
  <c r="Z115" i="7"/>
  <c r="AD114" i="7"/>
  <c r="Z114" i="7"/>
  <c r="AD113" i="7"/>
  <c r="Z113" i="7"/>
  <c r="AD112" i="7"/>
  <c r="Z112" i="7"/>
  <c r="AD111" i="7"/>
  <c r="Z111" i="7"/>
  <c r="AD110" i="7"/>
  <c r="Z110" i="7"/>
  <c r="AD109" i="7"/>
  <c r="Z109" i="7"/>
  <c r="AD108" i="7"/>
  <c r="Z108" i="7"/>
  <c r="AD107" i="7"/>
  <c r="Z107" i="7"/>
  <c r="AD106" i="7"/>
  <c r="Z106" i="7"/>
  <c r="AD105" i="7"/>
  <c r="Z105" i="7"/>
  <c r="AD104" i="7"/>
  <c r="Z104" i="7"/>
  <c r="AD103" i="7"/>
  <c r="Z103" i="7"/>
  <c r="AD102" i="7"/>
  <c r="Z102" i="7"/>
  <c r="AD101" i="7"/>
  <c r="Z101" i="7"/>
  <c r="AD100" i="7"/>
  <c r="Z100" i="7"/>
  <c r="AD99" i="7"/>
  <c r="Z99" i="7"/>
  <c r="AD98" i="7"/>
  <c r="Z98" i="7"/>
  <c r="AD97" i="7"/>
  <c r="Z97" i="7"/>
  <c r="AD96" i="7"/>
  <c r="Z96" i="7"/>
  <c r="AD95" i="7"/>
  <c r="Z95" i="7"/>
  <c r="AD94" i="7"/>
  <c r="Z94" i="7"/>
  <c r="AD93" i="7"/>
  <c r="Z93" i="7"/>
  <c r="AD92" i="7"/>
  <c r="Z92" i="7"/>
  <c r="AD91" i="7"/>
  <c r="Z91" i="7"/>
  <c r="AD90" i="7"/>
  <c r="Z90" i="7"/>
  <c r="AD89" i="7"/>
  <c r="Z89" i="7"/>
  <c r="AD88" i="7"/>
  <c r="Z88" i="7"/>
  <c r="AD87" i="7"/>
  <c r="Z87" i="7"/>
  <c r="AD86" i="7"/>
  <c r="Z86" i="7"/>
  <c r="AD85" i="7"/>
  <c r="Z85" i="7"/>
  <c r="AD84" i="7"/>
  <c r="Z84" i="7"/>
  <c r="AD83" i="7"/>
  <c r="Z83" i="7"/>
  <c r="AD82" i="7"/>
  <c r="Z82" i="7"/>
  <c r="AD81" i="7"/>
  <c r="Z81" i="7"/>
  <c r="AD80" i="7"/>
  <c r="Z80" i="7"/>
  <c r="AD79" i="7"/>
  <c r="Z79" i="7"/>
  <c r="AD78" i="7"/>
  <c r="Z78" i="7"/>
  <c r="AD77" i="7"/>
  <c r="Z77" i="7"/>
  <c r="AD76" i="7"/>
  <c r="Z76" i="7"/>
  <c r="AD75" i="7"/>
  <c r="Z75" i="7"/>
  <c r="AD74" i="7"/>
  <c r="Z74" i="7"/>
  <c r="AD73" i="7"/>
  <c r="Z73" i="7"/>
  <c r="AD72" i="7"/>
  <c r="Z72" i="7"/>
  <c r="AD71" i="7"/>
  <c r="Z71" i="7"/>
  <c r="AD70" i="7"/>
  <c r="Z70" i="7"/>
  <c r="AD69" i="7"/>
  <c r="Z69" i="7"/>
  <c r="AD68" i="7"/>
  <c r="Z68" i="7"/>
  <c r="AD67" i="7"/>
  <c r="Z67" i="7"/>
  <c r="AD66" i="7"/>
  <c r="Z66" i="7"/>
  <c r="AD65" i="7"/>
  <c r="Z65" i="7"/>
  <c r="AD64" i="7"/>
  <c r="Z64" i="7"/>
  <c r="AD63" i="7"/>
  <c r="Z63" i="7"/>
  <c r="AD62" i="7"/>
  <c r="Z62" i="7"/>
  <c r="AD61" i="7"/>
  <c r="Z61" i="7"/>
  <c r="AD60" i="7"/>
  <c r="Z60" i="7"/>
  <c r="AD59" i="7"/>
  <c r="Z59" i="7"/>
  <c r="AD58" i="7"/>
  <c r="Z58" i="7"/>
  <c r="AD57" i="7"/>
  <c r="Z57" i="7"/>
  <c r="AD56" i="7"/>
  <c r="Z56" i="7"/>
  <c r="AD55" i="7"/>
  <c r="Z55" i="7"/>
  <c r="AD54" i="7"/>
  <c r="Z54" i="7"/>
  <c r="AD53" i="7"/>
  <c r="Z53" i="7"/>
  <c r="AD52" i="7"/>
  <c r="Z52" i="7"/>
  <c r="AD51" i="7"/>
  <c r="Z51" i="7"/>
  <c r="AD50" i="7"/>
  <c r="Z50" i="7"/>
  <c r="AD49" i="7"/>
  <c r="Z49" i="7"/>
  <c r="AD48" i="7"/>
  <c r="Z48" i="7"/>
  <c r="AD47" i="7"/>
  <c r="Z47" i="7"/>
  <c r="AD46" i="7"/>
  <c r="Z46" i="7"/>
  <c r="AD45" i="7"/>
  <c r="Z45" i="7"/>
  <c r="AD44" i="7"/>
  <c r="Z44" i="7"/>
  <c r="AD43" i="7"/>
  <c r="Z43" i="7"/>
  <c r="AD42" i="7"/>
  <c r="Z42" i="7"/>
  <c r="AD41" i="7"/>
  <c r="Z41" i="7"/>
  <c r="AD40" i="7"/>
  <c r="Z40" i="7"/>
  <c r="AD39" i="7"/>
  <c r="Z39" i="7"/>
  <c r="AD38" i="7"/>
  <c r="Z38" i="7"/>
  <c r="AD37" i="7"/>
  <c r="Z37" i="7"/>
  <c r="AD36" i="7"/>
  <c r="Z36" i="7"/>
  <c r="AD35" i="7"/>
  <c r="Z35" i="7"/>
  <c r="AD34" i="7"/>
  <c r="Z34" i="7"/>
  <c r="AD33" i="7"/>
  <c r="Z33" i="7"/>
  <c r="AD32" i="7"/>
  <c r="Z32" i="7"/>
  <c r="AD31" i="7"/>
  <c r="Z31" i="7"/>
  <c r="AD30" i="7"/>
  <c r="Z30" i="7"/>
  <c r="AD29" i="7"/>
  <c r="Z29" i="7"/>
  <c r="AD28" i="7"/>
  <c r="Z28" i="7"/>
  <c r="AD27" i="7"/>
  <c r="Z27" i="7"/>
  <c r="AD26" i="7"/>
  <c r="Z26" i="7"/>
  <c r="AD25" i="7"/>
  <c r="Z25" i="7"/>
  <c r="AD24" i="7"/>
  <c r="Z24" i="7"/>
  <c r="AD23" i="7"/>
  <c r="Z23" i="7"/>
  <c r="AD22" i="7"/>
  <c r="Z22" i="7"/>
  <c r="AD21" i="7"/>
  <c r="Z21" i="7"/>
  <c r="AD20" i="7"/>
  <c r="Z20" i="7"/>
  <c r="AD19" i="7"/>
  <c r="Z19" i="7"/>
  <c r="AD18" i="7"/>
  <c r="Z18" i="7"/>
  <c r="AD17" i="7"/>
  <c r="Z17" i="7"/>
  <c r="X15" i="7"/>
  <c r="W15" i="7"/>
  <c r="W7" i="7" s="1"/>
  <c r="V15" i="7"/>
  <c r="V7" i="7" s="1"/>
  <c r="U15" i="7"/>
  <c r="U6" i="7" s="1"/>
  <c r="T15" i="7"/>
  <c r="S15" i="7"/>
  <c r="S7" i="7" s="1"/>
  <c r="R15" i="7"/>
  <c r="R7" i="7" s="1"/>
  <c r="Q15" i="7"/>
  <c r="Q6" i="7" s="1"/>
  <c r="P15" i="7"/>
  <c r="O15" i="7"/>
  <c r="O6" i="7" s="1"/>
  <c r="N15" i="7"/>
  <c r="N6" i="7" s="1"/>
  <c r="M15" i="7"/>
  <c r="M6" i="7" s="1"/>
  <c r="L15" i="7"/>
  <c r="K15" i="7"/>
  <c r="K6" i="7" s="1"/>
  <c r="J15" i="7"/>
  <c r="J6" i="7" s="1"/>
  <c r="I15" i="7"/>
  <c r="I6" i="7" s="1"/>
  <c r="G15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G12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G9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G8" i="7"/>
  <c r="N7" i="7"/>
  <c r="K7" i="7"/>
  <c r="B2" i="7"/>
  <c r="AD122" i="6"/>
  <c r="Z122" i="6"/>
  <c r="AD121" i="6"/>
  <c r="Z121" i="6"/>
  <c r="AD120" i="6"/>
  <c r="Z120" i="6"/>
  <c r="AD119" i="6"/>
  <c r="Z119" i="6"/>
  <c r="AD118" i="6"/>
  <c r="Z118" i="6"/>
  <c r="AD117" i="6"/>
  <c r="Z117" i="6"/>
  <c r="AD116" i="6"/>
  <c r="Z116" i="6"/>
  <c r="AD115" i="6"/>
  <c r="Z115" i="6"/>
  <c r="AD114" i="6"/>
  <c r="Z114" i="6"/>
  <c r="AD113" i="6"/>
  <c r="Z113" i="6"/>
  <c r="AD112" i="6"/>
  <c r="Z112" i="6"/>
  <c r="AD111" i="6"/>
  <c r="Z111" i="6"/>
  <c r="AD110" i="6"/>
  <c r="Z110" i="6"/>
  <c r="AD109" i="6"/>
  <c r="Z109" i="6"/>
  <c r="AD108" i="6"/>
  <c r="Z108" i="6"/>
  <c r="AD107" i="6"/>
  <c r="Z107" i="6"/>
  <c r="AD106" i="6"/>
  <c r="Z106" i="6"/>
  <c r="AD105" i="6"/>
  <c r="Z105" i="6"/>
  <c r="AD104" i="6"/>
  <c r="Z104" i="6"/>
  <c r="AD103" i="6"/>
  <c r="Z103" i="6"/>
  <c r="AD102" i="6"/>
  <c r="Z102" i="6"/>
  <c r="AD101" i="6"/>
  <c r="Z101" i="6"/>
  <c r="AD100" i="6"/>
  <c r="Z100" i="6"/>
  <c r="AD99" i="6"/>
  <c r="Z99" i="6"/>
  <c r="AD98" i="6"/>
  <c r="Z98" i="6"/>
  <c r="AD97" i="6"/>
  <c r="Z97" i="6"/>
  <c r="AD96" i="6"/>
  <c r="Z96" i="6"/>
  <c r="AD95" i="6"/>
  <c r="Z95" i="6"/>
  <c r="AD94" i="6"/>
  <c r="Z94" i="6"/>
  <c r="AD93" i="6"/>
  <c r="Z93" i="6"/>
  <c r="AD92" i="6"/>
  <c r="Z92" i="6"/>
  <c r="AD91" i="6"/>
  <c r="Z91" i="6"/>
  <c r="AD90" i="6"/>
  <c r="Z90" i="6"/>
  <c r="AD89" i="6"/>
  <c r="Z89" i="6"/>
  <c r="AD88" i="6"/>
  <c r="Z88" i="6"/>
  <c r="AD87" i="6"/>
  <c r="Z87" i="6"/>
  <c r="AD86" i="6"/>
  <c r="Z86" i="6"/>
  <c r="AD85" i="6"/>
  <c r="Z85" i="6"/>
  <c r="AD84" i="6"/>
  <c r="Z84" i="6"/>
  <c r="AD83" i="6"/>
  <c r="Z83" i="6"/>
  <c r="AD82" i="6"/>
  <c r="Z82" i="6"/>
  <c r="AD81" i="6"/>
  <c r="Z81" i="6"/>
  <c r="AD80" i="6"/>
  <c r="Z80" i="6"/>
  <c r="AD79" i="6"/>
  <c r="Z79" i="6"/>
  <c r="AD78" i="6"/>
  <c r="Z78" i="6"/>
  <c r="AD77" i="6"/>
  <c r="Z77" i="6"/>
  <c r="AD76" i="6"/>
  <c r="Z76" i="6"/>
  <c r="AD75" i="6"/>
  <c r="Z75" i="6"/>
  <c r="AD74" i="6"/>
  <c r="Z74" i="6"/>
  <c r="AD73" i="6"/>
  <c r="Z73" i="6"/>
  <c r="AD72" i="6"/>
  <c r="Z72" i="6"/>
  <c r="AD71" i="6"/>
  <c r="Z71" i="6"/>
  <c r="AD70" i="6"/>
  <c r="Z70" i="6"/>
  <c r="AD69" i="6"/>
  <c r="Z69" i="6"/>
  <c r="AD68" i="6"/>
  <c r="Z68" i="6"/>
  <c r="AD67" i="6"/>
  <c r="Z67" i="6"/>
  <c r="AD66" i="6"/>
  <c r="Z66" i="6"/>
  <c r="AD65" i="6"/>
  <c r="Z65" i="6"/>
  <c r="AD64" i="6"/>
  <c r="Z64" i="6"/>
  <c r="AD63" i="6"/>
  <c r="Z63" i="6"/>
  <c r="AD62" i="6"/>
  <c r="Z62" i="6"/>
  <c r="AD61" i="6"/>
  <c r="Z61" i="6"/>
  <c r="AD60" i="6"/>
  <c r="Z60" i="6"/>
  <c r="AD59" i="6"/>
  <c r="Z59" i="6"/>
  <c r="AD58" i="6"/>
  <c r="Z58" i="6"/>
  <c r="AD57" i="6"/>
  <c r="Z57" i="6"/>
  <c r="AD56" i="6"/>
  <c r="Z56" i="6"/>
  <c r="AD55" i="6"/>
  <c r="Z55" i="6"/>
  <c r="AD54" i="6"/>
  <c r="Z54" i="6"/>
  <c r="AD53" i="6"/>
  <c r="Z53" i="6"/>
  <c r="AD52" i="6"/>
  <c r="Z52" i="6"/>
  <c r="AD51" i="6"/>
  <c r="Z51" i="6"/>
  <c r="AD50" i="6"/>
  <c r="Z50" i="6"/>
  <c r="AD49" i="6"/>
  <c r="Z49" i="6"/>
  <c r="AD48" i="6"/>
  <c r="Z48" i="6"/>
  <c r="AD47" i="6"/>
  <c r="Z47" i="6"/>
  <c r="AD46" i="6"/>
  <c r="Z46" i="6"/>
  <c r="AD45" i="6"/>
  <c r="Z45" i="6"/>
  <c r="AD44" i="6"/>
  <c r="Z44" i="6"/>
  <c r="AD43" i="6"/>
  <c r="Z43" i="6"/>
  <c r="AD42" i="6"/>
  <c r="Z42" i="6"/>
  <c r="AD41" i="6"/>
  <c r="Z41" i="6"/>
  <c r="AD40" i="6"/>
  <c r="Z40" i="6"/>
  <c r="AD39" i="6"/>
  <c r="Z39" i="6"/>
  <c r="AD38" i="6"/>
  <c r="Z38" i="6"/>
  <c r="AD37" i="6"/>
  <c r="Z37" i="6"/>
  <c r="AD36" i="6"/>
  <c r="Z36" i="6"/>
  <c r="AD35" i="6"/>
  <c r="Z35" i="6"/>
  <c r="AD34" i="6"/>
  <c r="Z34" i="6"/>
  <c r="AD33" i="6"/>
  <c r="Z33" i="6"/>
  <c r="AD32" i="6"/>
  <c r="Z32" i="6"/>
  <c r="AD31" i="6"/>
  <c r="Z31" i="6"/>
  <c r="AD30" i="6"/>
  <c r="Z30" i="6"/>
  <c r="AD29" i="6"/>
  <c r="Z29" i="6"/>
  <c r="AD28" i="6"/>
  <c r="Z28" i="6"/>
  <c r="AD27" i="6"/>
  <c r="Z27" i="6"/>
  <c r="AD26" i="6"/>
  <c r="Z26" i="6"/>
  <c r="AD25" i="6"/>
  <c r="Z25" i="6"/>
  <c r="AD24" i="6"/>
  <c r="Z24" i="6"/>
  <c r="AD23" i="6"/>
  <c r="Z23" i="6"/>
  <c r="AD22" i="6"/>
  <c r="Z22" i="6"/>
  <c r="AD21" i="6"/>
  <c r="Z21" i="6"/>
  <c r="AD20" i="6"/>
  <c r="Z20" i="6"/>
  <c r="AD19" i="6"/>
  <c r="Z19" i="6"/>
  <c r="AD18" i="6"/>
  <c r="Z18" i="6"/>
  <c r="AD17" i="6"/>
  <c r="Z17" i="6"/>
  <c r="X15" i="6"/>
  <c r="X6" i="6" s="1"/>
  <c r="W15" i="6"/>
  <c r="W7" i="6" s="1"/>
  <c r="V15" i="6"/>
  <c r="U15" i="6"/>
  <c r="U7" i="6" s="1"/>
  <c r="T15" i="6"/>
  <c r="T6" i="6" s="1"/>
  <c r="S15" i="6"/>
  <c r="S7" i="6" s="1"/>
  <c r="R15" i="6"/>
  <c r="Q15" i="6"/>
  <c r="Q6" i="6" s="1"/>
  <c r="P15" i="6"/>
  <c r="P6" i="6" s="1"/>
  <c r="O15" i="6"/>
  <c r="O7" i="6" s="1"/>
  <c r="N15" i="6"/>
  <c r="M15" i="6"/>
  <c r="M7" i="6" s="1"/>
  <c r="L15" i="6"/>
  <c r="L6" i="6" s="1"/>
  <c r="K15" i="6"/>
  <c r="K7" i="6" s="1"/>
  <c r="J15" i="6"/>
  <c r="I15" i="6"/>
  <c r="I7" i="6" s="1"/>
  <c r="G15" i="6"/>
  <c r="G6" i="6" s="1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G12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G9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G8" i="6"/>
  <c r="X7" i="6"/>
  <c r="X11" i="6" s="1"/>
  <c r="Q7" i="6"/>
  <c r="U6" i="6"/>
  <c r="M6" i="6"/>
  <c r="B2" i="6"/>
  <c r="J45" i="5"/>
  <c r="L45" i="5" s="1"/>
  <c r="F45" i="5"/>
  <c r="M43" i="5"/>
  <c r="L42" i="5"/>
  <c r="H42" i="5"/>
  <c r="M41" i="5"/>
  <c r="M36" i="5"/>
  <c r="M31" i="5"/>
  <c r="M22" i="5"/>
  <c r="R6" i="8" l="1"/>
  <c r="N7" i="8"/>
  <c r="R6" i="9"/>
  <c r="G7" i="6"/>
  <c r="G11" i="6" s="1"/>
  <c r="J6" i="8"/>
  <c r="G7" i="9"/>
  <c r="T7" i="9"/>
  <c r="K10" i="7"/>
  <c r="I6" i="6"/>
  <c r="S6" i="7"/>
  <c r="L6" i="9"/>
  <c r="L10" i="9" s="1"/>
  <c r="V6" i="9"/>
  <c r="V10" i="9" s="1"/>
  <c r="X7" i="9"/>
  <c r="Z15" i="9"/>
  <c r="M10" i="9"/>
  <c r="R6" i="7"/>
  <c r="R10" i="7" s="1"/>
  <c r="O7" i="7"/>
  <c r="V7" i="8"/>
  <c r="J6" i="9"/>
  <c r="J11" i="9" s="1"/>
  <c r="P7" i="9"/>
  <c r="P11" i="9" s="1"/>
  <c r="O6" i="8"/>
  <c r="O10" i="8" s="1"/>
  <c r="I7" i="9"/>
  <c r="I10" i="9" s="1"/>
  <c r="I10" i="6"/>
  <c r="Q10" i="9"/>
  <c r="M42" i="5"/>
  <c r="U10" i="6"/>
  <c r="P7" i="6"/>
  <c r="P11" i="6" s="1"/>
  <c r="Q10" i="6"/>
  <c r="J7" i="7"/>
  <c r="J11" i="7" s="1"/>
  <c r="Q7" i="8"/>
  <c r="Q11" i="8" s="1"/>
  <c r="G10" i="9"/>
  <c r="U7" i="9"/>
  <c r="U11" i="9" s="1"/>
  <c r="U11" i="10"/>
  <c r="R10" i="8"/>
  <c r="S6" i="9"/>
  <c r="S10" i="9" s="1"/>
  <c r="W6" i="9"/>
  <c r="W10" i="9" s="1"/>
  <c r="Q10" i="10"/>
  <c r="I11" i="10"/>
  <c r="J10" i="8"/>
  <c r="S6" i="8"/>
  <c r="S10" i="8" s="1"/>
  <c r="K6" i="9"/>
  <c r="K10" i="9" s="1"/>
  <c r="O6" i="9"/>
  <c r="O11" i="9" s="1"/>
  <c r="T10" i="9"/>
  <c r="K6" i="10"/>
  <c r="K10" i="10" s="1"/>
  <c r="S6" i="10"/>
  <c r="M10" i="6"/>
  <c r="N11" i="7"/>
  <c r="L7" i="6"/>
  <c r="L11" i="6" s="1"/>
  <c r="T7" i="6"/>
  <c r="T11" i="6" s="1"/>
  <c r="I7" i="7"/>
  <c r="I11" i="7" s="1"/>
  <c r="O11" i="7"/>
  <c r="K6" i="8"/>
  <c r="K10" i="8" s="1"/>
  <c r="W6" i="8"/>
  <c r="W10" i="8" s="1"/>
  <c r="N10" i="8"/>
  <c r="V10" i="8"/>
  <c r="M6" i="10"/>
  <c r="M10" i="10" s="1"/>
  <c r="N11" i="10"/>
  <c r="J6" i="6"/>
  <c r="J7" i="6"/>
  <c r="N6" i="6"/>
  <c r="N7" i="6"/>
  <c r="R6" i="6"/>
  <c r="R7" i="6"/>
  <c r="V6" i="6"/>
  <c r="V7" i="6"/>
  <c r="S11" i="7"/>
  <c r="U7" i="7"/>
  <c r="U10" i="7" s="1"/>
  <c r="Q10" i="8"/>
  <c r="K6" i="6"/>
  <c r="O6" i="6"/>
  <c r="O10" i="6" s="1"/>
  <c r="S6" i="6"/>
  <c r="S10" i="6" s="1"/>
  <c r="W6" i="6"/>
  <c r="W10" i="6" s="1"/>
  <c r="V6" i="7"/>
  <c r="V11" i="7" s="1"/>
  <c r="Q7" i="7"/>
  <c r="Q11" i="7" s="1"/>
  <c r="T11" i="9"/>
  <c r="X11" i="9"/>
  <c r="H15" i="13"/>
  <c r="H15" i="12"/>
  <c r="H15" i="11"/>
  <c r="N11" i="8"/>
  <c r="V11" i="8"/>
  <c r="I11" i="6"/>
  <c r="M11" i="6"/>
  <c r="Q11" i="6"/>
  <c r="U11" i="6"/>
  <c r="I10" i="8"/>
  <c r="U10" i="8"/>
  <c r="J11" i="8"/>
  <c r="R11" i="8"/>
  <c r="G11" i="9"/>
  <c r="R6" i="10"/>
  <c r="R11" i="10" s="1"/>
  <c r="Z15" i="6"/>
  <c r="AA120" i="6" s="1"/>
  <c r="AC120" i="6" s="1"/>
  <c r="W6" i="7"/>
  <c r="W11" i="7" s="1"/>
  <c r="M7" i="7"/>
  <c r="M10" i="7" s="1"/>
  <c r="M7" i="8"/>
  <c r="M10" i="8" s="1"/>
  <c r="U7" i="8"/>
  <c r="U11" i="8" s="1"/>
  <c r="K11" i="8"/>
  <c r="O11" i="8"/>
  <c r="R11" i="9"/>
  <c r="S10" i="10"/>
  <c r="Q11" i="10"/>
  <c r="W10" i="10"/>
  <c r="I10" i="10"/>
  <c r="O10" i="10"/>
  <c r="W11" i="10"/>
  <c r="V11" i="10"/>
  <c r="U10" i="10"/>
  <c r="S11" i="10"/>
  <c r="Q11" i="9"/>
  <c r="O11" i="10"/>
  <c r="N11" i="9"/>
  <c r="M11" i="9"/>
  <c r="K11" i="9"/>
  <c r="J6" i="10"/>
  <c r="J11" i="10" s="1"/>
  <c r="N10" i="10"/>
  <c r="V10" i="10"/>
  <c r="Z15" i="10"/>
  <c r="G6" i="10"/>
  <c r="G10" i="10" s="1"/>
  <c r="L6" i="10"/>
  <c r="L10" i="10" s="1"/>
  <c r="P6" i="10"/>
  <c r="P10" i="10" s="1"/>
  <c r="T6" i="10"/>
  <c r="T10" i="10" s="1"/>
  <c r="X6" i="10"/>
  <c r="X11" i="10" s="1"/>
  <c r="AA117" i="9"/>
  <c r="AC117" i="9" s="1"/>
  <c r="AA19" i="9"/>
  <c r="AC19" i="9" s="1"/>
  <c r="AA23" i="9"/>
  <c r="AC23" i="9" s="1"/>
  <c r="AA27" i="9"/>
  <c r="AC27" i="9" s="1"/>
  <c r="AA31" i="9"/>
  <c r="AC31" i="9" s="1"/>
  <c r="AA35" i="9"/>
  <c r="AC35" i="9" s="1"/>
  <c r="AA39" i="9"/>
  <c r="AC39" i="9" s="1"/>
  <c r="AA43" i="9"/>
  <c r="AC43" i="9" s="1"/>
  <c r="AA49" i="9"/>
  <c r="AC49" i="9" s="1"/>
  <c r="AA57" i="9"/>
  <c r="AC57" i="9" s="1"/>
  <c r="AA65" i="9"/>
  <c r="AC65" i="9" s="1"/>
  <c r="AA73" i="9"/>
  <c r="AC73" i="9" s="1"/>
  <c r="AA81" i="9"/>
  <c r="AC81" i="9" s="1"/>
  <c r="AA89" i="9"/>
  <c r="AC89" i="9" s="1"/>
  <c r="AA97" i="9"/>
  <c r="AC97" i="9" s="1"/>
  <c r="AA101" i="9"/>
  <c r="AC101" i="9" s="1"/>
  <c r="AA105" i="9"/>
  <c r="AC105" i="9" s="1"/>
  <c r="AA107" i="9"/>
  <c r="AC107" i="9" s="1"/>
  <c r="AA111" i="9"/>
  <c r="AC111" i="9" s="1"/>
  <c r="AA115" i="9"/>
  <c r="AC115" i="9" s="1"/>
  <c r="AA119" i="9"/>
  <c r="AC119" i="9" s="1"/>
  <c r="AA18" i="9"/>
  <c r="AC18" i="9" s="1"/>
  <c r="AA20" i="9"/>
  <c r="AC20" i="9" s="1"/>
  <c r="AA22" i="9"/>
  <c r="AC22" i="9" s="1"/>
  <c r="AA24" i="9"/>
  <c r="AC24" i="9" s="1"/>
  <c r="AA26" i="9"/>
  <c r="AC26" i="9" s="1"/>
  <c r="AA28" i="9"/>
  <c r="AC28" i="9" s="1"/>
  <c r="AA30" i="9"/>
  <c r="AC30" i="9" s="1"/>
  <c r="AA32" i="9"/>
  <c r="AC32" i="9" s="1"/>
  <c r="AA34" i="9"/>
  <c r="AC34" i="9" s="1"/>
  <c r="AA36" i="9"/>
  <c r="AC36" i="9" s="1"/>
  <c r="AA38" i="9"/>
  <c r="AC38" i="9" s="1"/>
  <c r="AA42" i="9"/>
  <c r="AC42" i="9" s="1"/>
  <c r="AA46" i="9"/>
  <c r="AC46" i="9" s="1"/>
  <c r="AA50" i="9"/>
  <c r="AC50" i="9" s="1"/>
  <c r="AA54" i="9"/>
  <c r="AC54" i="9" s="1"/>
  <c r="AA58" i="9"/>
  <c r="AC58" i="9" s="1"/>
  <c r="AA62" i="9"/>
  <c r="AC62" i="9" s="1"/>
  <c r="AA66" i="9"/>
  <c r="AC66" i="9" s="1"/>
  <c r="AA70" i="9"/>
  <c r="AC70" i="9" s="1"/>
  <c r="AA74" i="9"/>
  <c r="AC74" i="9" s="1"/>
  <c r="AA78" i="9"/>
  <c r="AC78" i="9" s="1"/>
  <c r="AA82" i="9"/>
  <c r="AC82" i="9" s="1"/>
  <c r="AA86" i="9"/>
  <c r="AC86" i="9" s="1"/>
  <c r="AA90" i="9"/>
  <c r="AC90" i="9" s="1"/>
  <c r="AA94" i="9"/>
  <c r="AC94" i="9" s="1"/>
  <c r="AA98" i="9"/>
  <c r="AC98" i="9" s="1"/>
  <c r="AA102" i="9"/>
  <c r="AC102" i="9" s="1"/>
  <c r="AA106" i="9"/>
  <c r="AC106" i="9" s="1"/>
  <c r="AA110" i="9"/>
  <c r="AC110" i="9" s="1"/>
  <c r="AA114" i="9"/>
  <c r="AC114" i="9" s="1"/>
  <c r="AA118" i="9"/>
  <c r="AC118" i="9" s="1"/>
  <c r="AA122" i="9"/>
  <c r="AC122" i="9" s="1"/>
  <c r="AA95" i="9"/>
  <c r="AC95" i="9" s="1"/>
  <c r="AA91" i="9"/>
  <c r="AC91" i="9" s="1"/>
  <c r="AA87" i="9"/>
  <c r="AC87" i="9" s="1"/>
  <c r="AA83" i="9"/>
  <c r="AC83" i="9" s="1"/>
  <c r="AA79" i="9"/>
  <c r="AC79" i="9" s="1"/>
  <c r="AA75" i="9"/>
  <c r="AC75" i="9" s="1"/>
  <c r="AA71" i="9"/>
  <c r="AC71" i="9" s="1"/>
  <c r="AA67" i="9"/>
  <c r="AC67" i="9" s="1"/>
  <c r="AA63" i="9"/>
  <c r="AC63" i="9" s="1"/>
  <c r="AA59" i="9"/>
  <c r="AC59" i="9" s="1"/>
  <c r="AA55" i="9"/>
  <c r="AC55" i="9" s="1"/>
  <c r="AA51" i="9"/>
  <c r="AC51" i="9" s="1"/>
  <c r="AA47" i="9"/>
  <c r="AC47" i="9" s="1"/>
  <c r="AA120" i="9"/>
  <c r="AC120" i="9" s="1"/>
  <c r="AA116" i="9"/>
  <c r="AC116" i="9" s="1"/>
  <c r="AA112" i="9"/>
  <c r="AC112" i="9" s="1"/>
  <c r="AA108" i="9"/>
  <c r="AC108" i="9" s="1"/>
  <c r="AA104" i="9"/>
  <c r="AC104" i="9" s="1"/>
  <c r="AA100" i="9"/>
  <c r="AC100" i="9" s="1"/>
  <c r="AA96" i="9"/>
  <c r="AC96" i="9" s="1"/>
  <c r="AA92" i="9"/>
  <c r="AC92" i="9" s="1"/>
  <c r="AA88" i="9"/>
  <c r="AC88" i="9" s="1"/>
  <c r="AA84" i="9"/>
  <c r="AC84" i="9" s="1"/>
  <c r="AA80" i="9"/>
  <c r="AC80" i="9" s="1"/>
  <c r="AA76" i="9"/>
  <c r="AC76" i="9" s="1"/>
  <c r="AA72" i="9"/>
  <c r="AC72" i="9" s="1"/>
  <c r="AA68" i="9"/>
  <c r="AC68" i="9" s="1"/>
  <c r="AA64" i="9"/>
  <c r="AC64" i="9" s="1"/>
  <c r="AA60" i="9"/>
  <c r="AC60" i="9" s="1"/>
  <c r="AA56" i="9"/>
  <c r="AC56" i="9" s="1"/>
  <c r="AA52" i="9"/>
  <c r="AC52" i="9" s="1"/>
  <c r="AA48" i="9"/>
  <c r="AC48" i="9" s="1"/>
  <c r="AA44" i="9"/>
  <c r="AC44" i="9" s="1"/>
  <c r="AA40" i="9"/>
  <c r="AC40" i="9" s="1"/>
  <c r="AA17" i="9"/>
  <c r="AC17" i="9" s="1"/>
  <c r="AA21" i="9"/>
  <c r="AC21" i="9" s="1"/>
  <c r="AA25" i="9"/>
  <c r="AC25" i="9" s="1"/>
  <c r="AA29" i="9"/>
  <c r="AC29" i="9" s="1"/>
  <c r="AA33" i="9"/>
  <c r="AC33" i="9" s="1"/>
  <c r="AA37" i="9"/>
  <c r="AC37" i="9" s="1"/>
  <c r="AA41" i="9"/>
  <c r="AC41" i="9" s="1"/>
  <c r="AA45" i="9"/>
  <c r="AC45" i="9" s="1"/>
  <c r="AA53" i="9"/>
  <c r="AC53" i="9" s="1"/>
  <c r="AA61" i="9"/>
  <c r="AC61" i="9" s="1"/>
  <c r="AA69" i="9"/>
  <c r="AC69" i="9" s="1"/>
  <c r="AA77" i="9"/>
  <c r="AC77" i="9" s="1"/>
  <c r="AA85" i="9"/>
  <c r="AC85" i="9" s="1"/>
  <c r="AA93" i="9"/>
  <c r="AC93" i="9" s="1"/>
  <c r="AA99" i="9"/>
  <c r="AC99" i="9" s="1"/>
  <c r="AA103" i="9"/>
  <c r="AC103" i="9" s="1"/>
  <c r="AA109" i="9"/>
  <c r="AC109" i="9" s="1"/>
  <c r="AA113" i="9"/>
  <c r="AC113" i="9" s="1"/>
  <c r="AA121" i="9"/>
  <c r="AC121" i="9" s="1"/>
  <c r="J10" i="9"/>
  <c r="N10" i="9"/>
  <c r="R10" i="9"/>
  <c r="I11" i="8"/>
  <c r="G6" i="8"/>
  <c r="G10" i="8" s="1"/>
  <c r="L6" i="8"/>
  <c r="L10" i="8" s="1"/>
  <c r="P6" i="8"/>
  <c r="P10" i="8" s="1"/>
  <c r="T6" i="8"/>
  <c r="T10" i="8" s="1"/>
  <c r="X6" i="8"/>
  <c r="X11" i="8" s="1"/>
  <c r="Z15" i="8"/>
  <c r="U11" i="7"/>
  <c r="V10" i="7"/>
  <c r="J10" i="7"/>
  <c r="M11" i="7"/>
  <c r="N10" i="7"/>
  <c r="G7" i="7"/>
  <c r="G6" i="7"/>
  <c r="Z15" i="7"/>
  <c r="I15" i="13" s="1"/>
  <c r="L7" i="7"/>
  <c r="L6" i="7"/>
  <c r="P7" i="7"/>
  <c r="P6" i="7"/>
  <c r="P10" i="7" s="1"/>
  <c r="T7" i="7"/>
  <c r="T6" i="7"/>
  <c r="X7" i="7"/>
  <c r="X6" i="7"/>
  <c r="O10" i="7"/>
  <c r="K11" i="7"/>
  <c r="AA56" i="7"/>
  <c r="AC56" i="7" s="1"/>
  <c r="S10" i="7"/>
  <c r="AA122" i="6"/>
  <c r="AC122" i="6" s="1"/>
  <c r="AA118" i="6"/>
  <c r="AC118" i="6" s="1"/>
  <c r="AA116" i="6"/>
  <c r="AC116" i="6" s="1"/>
  <c r="AA112" i="6"/>
  <c r="AC112" i="6" s="1"/>
  <c r="AA111" i="6"/>
  <c r="AC111" i="6" s="1"/>
  <c r="AA107" i="6"/>
  <c r="AC107" i="6" s="1"/>
  <c r="AA106" i="6"/>
  <c r="AC106" i="6" s="1"/>
  <c r="AA102" i="6"/>
  <c r="AC102" i="6" s="1"/>
  <c r="AA100" i="6"/>
  <c r="AC100" i="6" s="1"/>
  <c r="AA99" i="6"/>
  <c r="AC99" i="6" s="1"/>
  <c r="AA96" i="6"/>
  <c r="AC96" i="6" s="1"/>
  <c r="AA95" i="6"/>
  <c r="AC95" i="6" s="1"/>
  <c r="AA94" i="6"/>
  <c r="AC94" i="6" s="1"/>
  <c r="AA91" i="6"/>
  <c r="AC91" i="6" s="1"/>
  <c r="AA90" i="6"/>
  <c r="AC90" i="6" s="1"/>
  <c r="AA88" i="6"/>
  <c r="AC88" i="6" s="1"/>
  <c r="AA86" i="6"/>
  <c r="AC86" i="6" s="1"/>
  <c r="AA84" i="6"/>
  <c r="AC84" i="6" s="1"/>
  <c r="AA83" i="6"/>
  <c r="AC83" i="6" s="1"/>
  <c r="AA80" i="6"/>
  <c r="AC80" i="6" s="1"/>
  <c r="AA79" i="6"/>
  <c r="AC79" i="6" s="1"/>
  <c r="AA78" i="6"/>
  <c r="AC78" i="6" s="1"/>
  <c r="AA75" i="6"/>
  <c r="AC75" i="6" s="1"/>
  <c r="AA74" i="6"/>
  <c r="AC74" i="6" s="1"/>
  <c r="AA72" i="6"/>
  <c r="AC72" i="6" s="1"/>
  <c r="AA70" i="6"/>
  <c r="AC70" i="6" s="1"/>
  <c r="AA68" i="6"/>
  <c r="AC68" i="6" s="1"/>
  <c r="AA67" i="6"/>
  <c r="AC67" i="6" s="1"/>
  <c r="AA64" i="6"/>
  <c r="AC64" i="6" s="1"/>
  <c r="AA63" i="6"/>
  <c r="AC63" i="6" s="1"/>
  <c r="AA62" i="6"/>
  <c r="AC62" i="6" s="1"/>
  <c r="AA59" i="6"/>
  <c r="AC59" i="6" s="1"/>
  <c r="AA58" i="6"/>
  <c r="AC58" i="6" s="1"/>
  <c r="AA56" i="6"/>
  <c r="AC56" i="6" s="1"/>
  <c r="AA54" i="6"/>
  <c r="AC54" i="6" s="1"/>
  <c r="AA52" i="6"/>
  <c r="AC52" i="6" s="1"/>
  <c r="AA51" i="6"/>
  <c r="AC51" i="6" s="1"/>
  <c r="AA48" i="6"/>
  <c r="AC48" i="6" s="1"/>
  <c r="AA47" i="6"/>
  <c r="AC47" i="6" s="1"/>
  <c r="AA45" i="6"/>
  <c r="AC45" i="6" s="1"/>
  <c r="AA42" i="6"/>
  <c r="AC42" i="6" s="1"/>
  <c r="AA38" i="6"/>
  <c r="AC38" i="6" s="1"/>
  <c r="AA36" i="6"/>
  <c r="AC36" i="6" s="1"/>
  <c r="AA34" i="6"/>
  <c r="AC34" i="6" s="1"/>
  <c r="AA32" i="6"/>
  <c r="AC32" i="6" s="1"/>
  <c r="AA31" i="6"/>
  <c r="AC31" i="6" s="1"/>
  <c r="AA28" i="6"/>
  <c r="AC28" i="6" s="1"/>
  <c r="AA27" i="6"/>
  <c r="AC27" i="6" s="1"/>
  <c r="AA26" i="6"/>
  <c r="AC26" i="6" s="1"/>
  <c r="AA23" i="6"/>
  <c r="AC23" i="6" s="1"/>
  <c r="AA22" i="6"/>
  <c r="AC22" i="6" s="1"/>
  <c r="AA20" i="6"/>
  <c r="AC20" i="6" s="1"/>
  <c r="AA18" i="6"/>
  <c r="AC18" i="6" s="1"/>
  <c r="AA43" i="6"/>
  <c r="AC43" i="6" s="1"/>
  <c r="AA39" i="6"/>
  <c r="AC39" i="6" s="1"/>
  <c r="L10" i="6"/>
  <c r="H35" i="5"/>
  <c r="L35" i="5"/>
  <c r="L39" i="5"/>
  <c r="H38" i="5"/>
  <c r="H30" i="5"/>
  <c r="L32" i="5"/>
  <c r="L33" i="5"/>
  <c r="H39" i="5"/>
  <c r="L27" i="5"/>
  <c r="L40" i="5"/>
  <c r="F46" i="5"/>
  <c r="F47" i="5" s="1"/>
  <c r="K46" i="5"/>
  <c r="K47" i="5" s="1"/>
  <c r="H27" i="5"/>
  <c r="G46" i="5"/>
  <c r="G47" i="5" s="1"/>
  <c r="L26" i="5"/>
  <c r="L28" i="5"/>
  <c r="L29" i="5"/>
  <c r="H32" i="5"/>
  <c r="H33" i="5"/>
  <c r="L37" i="5"/>
  <c r="L20" i="5"/>
  <c r="H26" i="5"/>
  <c r="H28" i="5"/>
  <c r="H29" i="5"/>
  <c r="L34" i="5"/>
  <c r="H37" i="5"/>
  <c r="J46" i="5"/>
  <c r="J47" i="5" s="1"/>
  <c r="L23" i="5"/>
  <c r="L25" i="5"/>
  <c r="L30" i="5"/>
  <c r="H34" i="5"/>
  <c r="L38" i="5"/>
  <c r="H40" i="5"/>
  <c r="E46" i="5"/>
  <c r="E47" i="5" s="1"/>
  <c r="I46" i="5"/>
  <c r="I47" i="5" s="1"/>
  <c r="G10" i="6" l="1"/>
  <c r="AA88" i="7"/>
  <c r="AC88" i="7" s="1"/>
  <c r="AA109" i="7"/>
  <c r="AC109" i="7" s="1"/>
  <c r="P10" i="9"/>
  <c r="V11" i="9"/>
  <c r="R11" i="7"/>
  <c r="P10" i="6"/>
  <c r="L11" i="9"/>
  <c r="I11" i="9"/>
  <c r="M11" i="10"/>
  <c r="O10" i="9"/>
  <c r="S11" i="9"/>
  <c r="W11" i="8"/>
  <c r="U10" i="9"/>
  <c r="T10" i="6"/>
  <c r="AA44" i="6"/>
  <c r="AC44" i="6" s="1"/>
  <c r="AA19" i="6"/>
  <c r="AC19" i="6" s="1"/>
  <c r="AA24" i="6"/>
  <c r="AA30" i="6"/>
  <c r="AC30" i="6" s="1"/>
  <c r="AA35" i="6"/>
  <c r="AC35" i="6" s="1"/>
  <c r="AA46" i="6"/>
  <c r="AC46" i="6" s="1"/>
  <c r="AA50" i="6"/>
  <c r="AC50" i="6" s="1"/>
  <c r="AA55" i="6"/>
  <c r="AC55" i="6" s="1"/>
  <c r="AA60" i="6"/>
  <c r="AC60" i="6" s="1"/>
  <c r="AA66" i="6"/>
  <c r="AC66" i="6" s="1"/>
  <c r="AA71" i="6"/>
  <c r="AC71" i="6" s="1"/>
  <c r="AA76" i="6"/>
  <c r="AC76" i="6" s="1"/>
  <c r="AA82" i="6"/>
  <c r="AC82" i="6" s="1"/>
  <c r="AA87" i="6"/>
  <c r="AC87" i="6" s="1"/>
  <c r="AA92" i="6"/>
  <c r="AC92" i="6" s="1"/>
  <c r="AA98" i="6"/>
  <c r="AC98" i="6" s="1"/>
  <c r="AA103" i="6"/>
  <c r="AC103" i="6" s="1"/>
  <c r="AA108" i="6"/>
  <c r="AC108" i="6" s="1"/>
  <c r="AA114" i="6"/>
  <c r="AC114" i="6" s="1"/>
  <c r="AA119" i="6"/>
  <c r="AC119" i="6" s="1"/>
  <c r="AA97" i="7"/>
  <c r="AC97" i="7" s="1"/>
  <c r="S11" i="8"/>
  <c r="W11" i="9"/>
  <c r="V11" i="6"/>
  <c r="N10" i="6"/>
  <c r="AA104" i="6"/>
  <c r="AC104" i="6" s="1"/>
  <c r="AA110" i="6"/>
  <c r="AC110" i="6" s="1"/>
  <c r="AA115" i="6"/>
  <c r="AC115" i="6" s="1"/>
  <c r="AA120" i="7"/>
  <c r="AC120" i="7" s="1"/>
  <c r="AA121" i="7"/>
  <c r="AC121" i="7" s="1"/>
  <c r="AA104" i="7"/>
  <c r="AC104" i="7" s="1"/>
  <c r="AA43" i="7"/>
  <c r="AC43" i="7" s="1"/>
  <c r="AA77" i="7"/>
  <c r="AC77" i="7" s="1"/>
  <c r="T11" i="7"/>
  <c r="L11" i="7"/>
  <c r="R10" i="10"/>
  <c r="M11" i="8"/>
  <c r="I10" i="7"/>
  <c r="AA45" i="7"/>
  <c r="AC45" i="7" s="1"/>
  <c r="AA63" i="7"/>
  <c r="AC63" i="7" s="1"/>
  <c r="AA72" i="7"/>
  <c r="AC72" i="7" s="1"/>
  <c r="G10" i="7"/>
  <c r="K11" i="10"/>
  <c r="Q10" i="7"/>
  <c r="R11" i="6"/>
  <c r="J11" i="6"/>
  <c r="I6" i="13"/>
  <c r="I7" i="13"/>
  <c r="H6" i="11"/>
  <c r="H7" i="11"/>
  <c r="V10" i="6"/>
  <c r="AA41" i="7"/>
  <c r="AC41" i="7" s="1"/>
  <c r="AA113" i="7"/>
  <c r="AC113" i="7" s="1"/>
  <c r="AA83" i="7"/>
  <c r="AC83" i="7" s="1"/>
  <c r="AA51" i="7"/>
  <c r="AC51" i="7" s="1"/>
  <c r="AA114" i="7"/>
  <c r="AC114" i="7" s="1"/>
  <c r="AA98" i="7"/>
  <c r="AC98" i="7" s="1"/>
  <c r="AA82" i="7"/>
  <c r="AC82" i="7" s="1"/>
  <c r="AA66" i="7"/>
  <c r="AC66" i="7" s="1"/>
  <c r="AA50" i="7"/>
  <c r="AC50" i="7" s="1"/>
  <c r="AA95" i="7"/>
  <c r="AC95" i="7" s="1"/>
  <c r="AA65" i="7"/>
  <c r="AC65" i="7" s="1"/>
  <c r="T11" i="8"/>
  <c r="G15" i="13"/>
  <c r="G15" i="12"/>
  <c r="G15" i="11"/>
  <c r="H7" i="12"/>
  <c r="H6" i="12"/>
  <c r="W11" i="6"/>
  <c r="S11" i="6"/>
  <c r="AA40" i="6"/>
  <c r="AC40" i="6" s="1"/>
  <c r="AA17" i="6"/>
  <c r="AC17" i="6" s="1"/>
  <c r="AA21" i="6"/>
  <c r="AC21" i="6" s="1"/>
  <c r="F49" i="5" s="1"/>
  <c r="AA25" i="6"/>
  <c r="AC25" i="6" s="1"/>
  <c r="AA29" i="6"/>
  <c r="AC29" i="6" s="1"/>
  <c r="AA33" i="6"/>
  <c r="AC33" i="6" s="1"/>
  <c r="AA37" i="6"/>
  <c r="AC37" i="6" s="1"/>
  <c r="AA41" i="6"/>
  <c r="AC41" i="6" s="1"/>
  <c r="AA49" i="6"/>
  <c r="AC49" i="6" s="1"/>
  <c r="AA53" i="6"/>
  <c r="AC53" i="6" s="1"/>
  <c r="AA57" i="6"/>
  <c r="AC57" i="6" s="1"/>
  <c r="AA61" i="6"/>
  <c r="AC61" i="6" s="1"/>
  <c r="AA65" i="6"/>
  <c r="AC65" i="6" s="1"/>
  <c r="AA69" i="6"/>
  <c r="AC69" i="6" s="1"/>
  <c r="AA73" i="6"/>
  <c r="AC73" i="6" s="1"/>
  <c r="AA77" i="6"/>
  <c r="AC77" i="6" s="1"/>
  <c r="AA81" i="6"/>
  <c r="AC81" i="6" s="1"/>
  <c r="AA85" i="6"/>
  <c r="AC85" i="6" s="1"/>
  <c r="AA89" i="6"/>
  <c r="AC89" i="6" s="1"/>
  <c r="AA93" i="6"/>
  <c r="AC93" i="6" s="1"/>
  <c r="AA97" i="6"/>
  <c r="AC97" i="6" s="1"/>
  <c r="AA101" i="6"/>
  <c r="AC101" i="6" s="1"/>
  <c r="AA105" i="6"/>
  <c r="AC105" i="6" s="1"/>
  <c r="AA109" i="6"/>
  <c r="AC109" i="6" s="1"/>
  <c r="AA113" i="6"/>
  <c r="AC113" i="6" s="1"/>
  <c r="AA117" i="6"/>
  <c r="AC117" i="6" s="1"/>
  <c r="AA121" i="6"/>
  <c r="AC121" i="6" s="1"/>
  <c r="W10" i="7"/>
  <c r="AA111" i="7"/>
  <c r="AC111" i="7" s="1"/>
  <c r="AA79" i="7"/>
  <c r="AC79" i="7" s="1"/>
  <c r="AA47" i="7"/>
  <c r="AC47" i="7" s="1"/>
  <c r="AA112" i="7"/>
  <c r="AC112" i="7" s="1"/>
  <c r="AA96" i="7"/>
  <c r="AC96" i="7" s="1"/>
  <c r="AA80" i="7"/>
  <c r="AC80" i="7" s="1"/>
  <c r="AA64" i="7"/>
  <c r="AC64" i="7" s="1"/>
  <c r="AA48" i="7"/>
  <c r="AC48" i="7" s="1"/>
  <c r="AA91" i="7"/>
  <c r="AC91" i="7" s="1"/>
  <c r="AA61" i="7"/>
  <c r="AC61" i="7" s="1"/>
  <c r="G11" i="7"/>
  <c r="AA33" i="10"/>
  <c r="AC33" i="10" s="1"/>
  <c r="K15" i="13"/>
  <c r="H6" i="13"/>
  <c r="H7" i="13"/>
  <c r="K10" i="6"/>
  <c r="K11" i="6"/>
  <c r="O11" i="6"/>
  <c r="R10" i="6"/>
  <c r="AA101" i="7"/>
  <c r="AC101" i="7" s="1"/>
  <c r="AA67" i="7"/>
  <c r="AC67" i="7" s="1"/>
  <c r="AA122" i="7"/>
  <c r="AC122" i="7" s="1"/>
  <c r="AA106" i="7"/>
  <c r="AC106" i="7" s="1"/>
  <c r="AA90" i="7"/>
  <c r="AC90" i="7" s="1"/>
  <c r="AA74" i="7"/>
  <c r="AC74" i="7" s="1"/>
  <c r="AA58" i="7"/>
  <c r="AC58" i="7" s="1"/>
  <c r="AA38" i="7"/>
  <c r="AC38" i="7" s="1"/>
  <c r="AA119" i="7"/>
  <c r="AC119" i="7" s="1"/>
  <c r="AA81" i="7"/>
  <c r="AC81" i="7" s="1"/>
  <c r="AA49" i="7"/>
  <c r="AC49" i="7" s="1"/>
  <c r="AA41" i="8"/>
  <c r="AC41" i="8" s="1"/>
  <c r="J15" i="13"/>
  <c r="N11" i="6"/>
  <c r="J10" i="6"/>
  <c r="T11" i="10"/>
  <c r="AA122" i="10"/>
  <c r="AC122" i="10" s="1"/>
  <c r="J10" i="10"/>
  <c r="AB109" i="9"/>
  <c r="AB85" i="9"/>
  <c r="AB53" i="9"/>
  <c r="AA120" i="10"/>
  <c r="AC120" i="10" s="1"/>
  <c r="AA112" i="10"/>
  <c r="AC112" i="10" s="1"/>
  <c r="AA104" i="10"/>
  <c r="AC104" i="10" s="1"/>
  <c r="AA96" i="10"/>
  <c r="AC96" i="10" s="1"/>
  <c r="AA88" i="10"/>
  <c r="AC88" i="10" s="1"/>
  <c r="AA80" i="10"/>
  <c r="AC80" i="10" s="1"/>
  <c r="AA72" i="10"/>
  <c r="AC72" i="10" s="1"/>
  <c r="AA64" i="10"/>
  <c r="AC64" i="10" s="1"/>
  <c r="AA56" i="10"/>
  <c r="AC56" i="10" s="1"/>
  <c r="AA48" i="10"/>
  <c r="AC48" i="10" s="1"/>
  <c r="AA40" i="10"/>
  <c r="AC40" i="10" s="1"/>
  <c r="AA32" i="10"/>
  <c r="AC32" i="10" s="1"/>
  <c r="AA24" i="10"/>
  <c r="AC24" i="10" s="1"/>
  <c r="AA31" i="10"/>
  <c r="AC31" i="10" s="1"/>
  <c r="AA47" i="10"/>
  <c r="AC47" i="10" s="1"/>
  <c r="AA29" i="10"/>
  <c r="AC29" i="10" s="1"/>
  <c r="AA119" i="10"/>
  <c r="AC119" i="10" s="1"/>
  <c r="AA103" i="10"/>
  <c r="AC103" i="10" s="1"/>
  <c r="AA87" i="10"/>
  <c r="AC87" i="10" s="1"/>
  <c r="AA67" i="10"/>
  <c r="AC67" i="10" s="1"/>
  <c r="AA97" i="10"/>
  <c r="AC97" i="10" s="1"/>
  <c r="AA93" i="10"/>
  <c r="AC93" i="10" s="1"/>
  <c r="AA89" i="10"/>
  <c r="AC89" i="10" s="1"/>
  <c r="AA61" i="10"/>
  <c r="AC61" i="10" s="1"/>
  <c r="AA57" i="10"/>
  <c r="AC57" i="10" s="1"/>
  <c r="AA45" i="10"/>
  <c r="AC45" i="10" s="1"/>
  <c r="AA113" i="10"/>
  <c r="AC113" i="10" s="1"/>
  <c r="AA85" i="10"/>
  <c r="AC85" i="10" s="1"/>
  <c r="AA73" i="10"/>
  <c r="AC73" i="10" s="1"/>
  <c r="AA69" i="10"/>
  <c r="AC69" i="10" s="1"/>
  <c r="AA41" i="10"/>
  <c r="AC41" i="10" s="1"/>
  <c r="AA121" i="10"/>
  <c r="AC121" i="10" s="1"/>
  <c r="AA117" i="10"/>
  <c r="AC117" i="10" s="1"/>
  <c r="AA109" i="10"/>
  <c r="AC109" i="10" s="1"/>
  <c r="AA105" i="10"/>
  <c r="AC105" i="10" s="1"/>
  <c r="AA101" i="10"/>
  <c r="AC101" i="10" s="1"/>
  <c r="AA81" i="10"/>
  <c r="AC81" i="10" s="1"/>
  <c r="AA77" i="10"/>
  <c r="AC77" i="10" s="1"/>
  <c r="AA65" i="10"/>
  <c r="AC65" i="10" s="1"/>
  <c r="AA53" i="10"/>
  <c r="AC53" i="10" s="1"/>
  <c r="AA49" i="10"/>
  <c r="AC49" i="10" s="1"/>
  <c r="P11" i="10"/>
  <c r="AA118" i="10"/>
  <c r="AC118" i="10" s="1"/>
  <c r="AA110" i="10"/>
  <c r="AC110" i="10" s="1"/>
  <c r="AA102" i="10"/>
  <c r="AC102" i="10" s="1"/>
  <c r="AA94" i="10"/>
  <c r="AC94" i="10" s="1"/>
  <c r="AA86" i="10"/>
  <c r="AC86" i="10" s="1"/>
  <c r="AA78" i="10"/>
  <c r="AC78" i="10" s="1"/>
  <c r="AA70" i="10"/>
  <c r="AC70" i="10" s="1"/>
  <c r="AA62" i="10"/>
  <c r="AC62" i="10" s="1"/>
  <c r="AA54" i="10"/>
  <c r="AC54" i="10" s="1"/>
  <c r="AA46" i="10"/>
  <c r="AC46" i="10" s="1"/>
  <c r="AA38" i="10"/>
  <c r="AC38" i="10" s="1"/>
  <c r="AA30" i="10"/>
  <c r="AC30" i="10" s="1"/>
  <c r="AA22" i="10"/>
  <c r="AC22" i="10" s="1"/>
  <c r="AA83" i="10"/>
  <c r="AC83" i="10" s="1"/>
  <c r="AA43" i="10"/>
  <c r="AC43" i="10" s="1"/>
  <c r="AA25" i="10"/>
  <c r="AC25" i="10" s="1"/>
  <c r="AA115" i="10"/>
  <c r="AC115" i="10" s="1"/>
  <c r="AA99" i="10"/>
  <c r="AC99" i="10" s="1"/>
  <c r="AA79" i="10"/>
  <c r="AC79" i="10" s="1"/>
  <c r="AA55" i="10"/>
  <c r="AC55" i="10" s="1"/>
  <c r="AA27" i="10"/>
  <c r="AC27" i="10" s="1"/>
  <c r="L11" i="10"/>
  <c r="AA116" i="10"/>
  <c r="AC116" i="10" s="1"/>
  <c r="AA108" i="10"/>
  <c r="AC108" i="10" s="1"/>
  <c r="AA100" i="10"/>
  <c r="AC100" i="10" s="1"/>
  <c r="AA92" i="10"/>
  <c r="AC92" i="10" s="1"/>
  <c r="AA84" i="10"/>
  <c r="AC84" i="10" s="1"/>
  <c r="AA76" i="10"/>
  <c r="AC76" i="10" s="1"/>
  <c r="AA68" i="10"/>
  <c r="AC68" i="10" s="1"/>
  <c r="AA60" i="10"/>
  <c r="AC60" i="10" s="1"/>
  <c r="AA52" i="10"/>
  <c r="AC52" i="10" s="1"/>
  <c r="AA44" i="10"/>
  <c r="AC44" i="10" s="1"/>
  <c r="AA36" i="10"/>
  <c r="AC36" i="10" s="1"/>
  <c r="AA28" i="10"/>
  <c r="AC28" i="10" s="1"/>
  <c r="AA20" i="10"/>
  <c r="AC20" i="10" s="1"/>
  <c r="AA63" i="10"/>
  <c r="AC63" i="10" s="1"/>
  <c r="AA39" i="10"/>
  <c r="AC39" i="10" s="1"/>
  <c r="AA21" i="10"/>
  <c r="AC21" i="10" s="1"/>
  <c r="AA111" i="10"/>
  <c r="AC111" i="10" s="1"/>
  <c r="AA95" i="10"/>
  <c r="AC95" i="10" s="1"/>
  <c r="AA75" i="10"/>
  <c r="AC75" i="10" s="1"/>
  <c r="AA51" i="10"/>
  <c r="AC51" i="10" s="1"/>
  <c r="AA23" i="10"/>
  <c r="AC23" i="10" s="1"/>
  <c r="G11" i="10"/>
  <c r="AA114" i="10"/>
  <c r="AC114" i="10" s="1"/>
  <c r="AA106" i="10"/>
  <c r="AC106" i="10" s="1"/>
  <c r="AA98" i="10"/>
  <c r="AC98" i="10" s="1"/>
  <c r="AA90" i="10"/>
  <c r="AC90" i="10" s="1"/>
  <c r="AA82" i="10"/>
  <c r="AC82" i="10" s="1"/>
  <c r="AA74" i="10"/>
  <c r="AC74" i="10" s="1"/>
  <c r="AA66" i="10"/>
  <c r="AC66" i="10" s="1"/>
  <c r="AA58" i="10"/>
  <c r="AC58" i="10" s="1"/>
  <c r="AA50" i="10"/>
  <c r="AC50" i="10" s="1"/>
  <c r="AA42" i="10"/>
  <c r="AC42" i="10" s="1"/>
  <c r="AA34" i="10"/>
  <c r="AC34" i="10" s="1"/>
  <c r="AA26" i="10"/>
  <c r="AC26" i="10" s="1"/>
  <c r="AA18" i="10"/>
  <c r="AC18" i="10" s="1"/>
  <c r="AA59" i="10"/>
  <c r="AC59" i="10" s="1"/>
  <c r="AA35" i="10"/>
  <c r="AC35" i="10" s="1"/>
  <c r="AA19" i="10"/>
  <c r="AC19" i="10" s="1"/>
  <c r="AA107" i="10"/>
  <c r="AC107" i="10" s="1"/>
  <c r="AA91" i="10"/>
  <c r="AC91" i="10" s="1"/>
  <c r="AA71" i="10"/>
  <c r="AC71" i="10" s="1"/>
  <c r="AA37" i="10"/>
  <c r="AC37" i="10" s="1"/>
  <c r="AA17" i="10"/>
  <c r="AC17" i="10" s="1"/>
  <c r="AB84" i="9"/>
  <c r="AB87" i="9"/>
  <c r="AB30" i="9"/>
  <c r="AB77" i="9"/>
  <c r="AB29" i="9"/>
  <c r="AB40" i="9"/>
  <c r="AB56" i="9"/>
  <c r="AB72" i="9"/>
  <c r="AB88" i="9"/>
  <c r="AB104" i="9"/>
  <c r="AB120" i="9"/>
  <c r="AB59" i="9"/>
  <c r="AB75" i="9"/>
  <c r="AB91" i="9"/>
  <c r="AB114" i="9"/>
  <c r="AB98" i="9"/>
  <c r="AB82" i="9"/>
  <c r="AB66" i="9"/>
  <c r="AB50" i="9"/>
  <c r="AB36" i="9"/>
  <c r="AB28" i="9"/>
  <c r="AB20" i="9"/>
  <c r="AB111" i="9"/>
  <c r="AB97" i="9"/>
  <c r="AB65" i="9"/>
  <c r="AB39" i="9"/>
  <c r="AB23" i="9"/>
  <c r="AB33" i="9"/>
  <c r="AB52" i="9"/>
  <c r="AB100" i="9"/>
  <c r="AB55" i="9"/>
  <c r="AB118" i="9"/>
  <c r="AB86" i="9"/>
  <c r="AB54" i="9"/>
  <c r="AB115" i="9"/>
  <c r="AB73" i="9"/>
  <c r="AB43" i="9"/>
  <c r="AB45" i="9"/>
  <c r="AB121" i="9"/>
  <c r="AB99" i="9"/>
  <c r="AB69" i="9"/>
  <c r="AB41" i="9"/>
  <c r="AB25" i="9"/>
  <c r="AB44" i="9"/>
  <c r="AB60" i="9"/>
  <c r="AB76" i="9"/>
  <c r="AB92" i="9"/>
  <c r="AB108" i="9"/>
  <c r="AB47" i="9"/>
  <c r="AB63" i="9"/>
  <c r="AB79" i="9"/>
  <c r="AB95" i="9"/>
  <c r="AB110" i="9"/>
  <c r="AB94" i="9"/>
  <c r="AB78" i="9"/>
  <c r="AB62" i="9"/>
  <c r="AB46" i="9"/>
  <c r="AB34" i="9"/>
  <c r="AB26" i="9"/>
  <c r="AB18" i="9"/>
  <c r="AB107" i="9"/>
  <c r="AB89" i="9"/>
  <c r="AB57" i="9"/>
  <c r="AB35" i="9"/>
  <c r="AB19" i="9"/>
  <c r="AB17" i="9"/>
  <c r="AB68" i="9"/>
  <c r="AB116" i="9"/>
  <c r="AB71" i="9"/>
  <c r="AB102" i="9"/>
  <c r="AB70" i="9"/>
  <c r="AB38" i="9"/>
  <c r="AB22" i="9"/>
  <c r="AB101" i="9"/>
  <c r="AB27" i="9"/>
  <c r="AB103" i="9"/>
  <c r="AB113" i="9"/>
  <c r="AB93" i="9"/>
  <c r="AB61" i="9"/>
  <c r="AB37" i="9"/>
  <c r="AB21" i="9"/>
  <c r="AB48" i="9"/>
  <c r="AB64" i="9"/>
  <c r="AB80" i="9"/>
  <c r="AB96" i="9"/>
  <c r="AB112" i="9"/>
  <c r="AB51" i="9"/>
  <c r="AB67" i="9"/>
  <c r="AB83" i="9"/>
  <c r="AB122" i="9"/>
  <c r="AB106" i="9"/>
  <c r="AB90" i="9"/>
  <c r="AB74" i="9"/>
  <c r="AB58" i="9"/>
  <c r="AB42" i="9"/>
  <c r="AB32" i="9"/>
  <c r="AB24" i="9"/>
  <c r="AB119" i="9"/>
  <c r="AB105" i="9"/>
  <c r="AB81" i="9"/>
  <c r="AB49" i="9"/>
  <c r="AB31" i="9"/>
  <c r="AB117" i="9"/>
  <c r="AA107" i="8"/>
  <c r="AC107" i="8" s="1"/>
  <c r="AA99" i="8"/>
  <c r="AC99" i="8" s="1"/>
  <c r="AA91" i="8"/>
  <c r="AC91" i="8" s="1"/>
  <c r="AA83" i="8"/>
  <c r="AC83" i="8" s="1"/>
  <c r="AA75" i="8"/>
  <c r="AC75" i="8" s="1"/>
  <c r="AA59" i="8"/>
  <c r="AC59" i="8" s="1"/>
  <c r="AA51" i="8"/>
  <c r="AC51" i="8" s="1"/>
  <c r="AA43" i="8"/>
  <c r="AC43" i="8" s="1"/>
  <c r="AA67" i="8"/>
  <c r="AC67" i="8" s="1"/>
  <c r="AA122" i="8"/>
  <c r="AC122" i="8" s="1"/>
  <c r="AA114" i="8"/>
  <c r="AC114" i="8" s="1"/>
  <c r="AA106" i="8"/>
  <c r="AC106" i="8" s="1"/>
  <c r="AA98" i="8"/>
  <c r="AC98" i="8" s="1"/>
  <c r="AA90" i="8"/>
  <c r="AC90" i="8" s="1"/>
  <c r="AA82" i="8"/>
  <c r="AC82" i="8" s="1"/>
  <c r="AA74" i="8"/>
  <c r="AC74" i="8" s="1"/>
  <c r="AA66" i="8"/>
  <c r="AC66" i="8" s="1"/>
  <c r="AA58" i="8"/>
  <c r="AC58" i="8" s="1"/>
  <c r="AA50" i="8"/>
  <c r="AC50" i="8" s="1"/>
  <c r="AA42" i="8"/>
  <c r="AC42" i="8" s="1"/>
  <c r="AA121" i="8"/>
  <c r="AC121" i="8" s="1"/>
  <c r="AA113" i="8"/>
  <c r="AC113" i="8" s="1"/>
  <c r="AA105" i="8"/>
  <c r="AC105" i="8" s="1"/>
  <c r="AA97" i="8"/>
  <c r="AC97" i="8" s="1"/>
  <c r="AA89" i="8"/>
  <c r="AC89" i="8" s="1"/>
  <c r="AA81" i="8"/>
  <c r="AC81" i="8" s="1"/>
  <c r="AA73" i="8"/>
  <c r="AC73" i="8" s="1"/>
  <c r="AA65" i="8"/>
  <c r="AC65" i="8" s="1"/>
  <c r="AA57" i="8"/>
  <c r="AC57" i="8" s="1"/>
  <c r="AA49" i="8"/>
  <c r="AC49" i="8" s="1"/>
  <c r="P11" i="8"/>
  <c r="AA37" i="8"/>
  <c r="AC37" i="8" s="1"/>
  <c r="AA36" i="8"/>
  <c r="AC36" i="8" s="1"/>
  <c r="AA35" i="8"/>
  <c r="AC35" i="8" s="1"/>
  <c r="AA34" i="8"/>
  <c r="AC34" i="8" s="1"/>
  <c r="AA33" i="8"/>
  <c r="AC33" i="8" s="1"/>
  <c r="AA32" i="8"/>
  <c r="AC32" i="8" s="1"/>
  <c r="AA31" i="8"/>
  <c r="AC31" i="8" s="1"/>
  <c r="AA30" i="8"/>
  <c r="AC30" i="8" s="1"/>
  <c r="AA29" i="8"/>
  <c r="AC29" i="8" s="1"/>
  <c r="AA28" i="8"/>
  <c r="AC28" i="8" s="1"/>
  <c r="AA27" i="8"/>
  <c r="AC27" i="8" s="1"/>
  <c r="AA26" i="8"/>
  <c r="AC26" i="8" s="1"/>
  <c r="AA25" i="8"/>
  <c r="AC25" i="8" s="1"/>
  <c r="AA24" i="8"/>
  <c r="AC24" i="8" s="1"/>
  <c r="AA23" i="8"/>
  <c r="AC23" i="8" s="1"/>
  <c r="AA22" i="8"/>
  <c r="AC22" i="8" s="1"/>
  <c r="AA21" i="8"/>
  <c r="AC21" i="8" s="1"/>
  <c r="AA20" i="8"/>
  <c r="AC20" i="8" s="1"/>
  <c r="AA19" i="8"/>
  <c r="AC19" i="8" s="1"/>
  <c r="AA18" i="8"/>
  <c r="AC18" i="8" s="1"/>
  <c r="AA17" i="8"/>
  <c r="AC17" i="8" s="1"/>
  <c r="AA116" i="8"/>
  <c r="AC116" i="8" s="1"/>
  <c r="AA108" i="8"/>
  <c r="AC108" i="8" s="1"/>
  <c r="AA100" i="8"/>
  <c r="AC100" i="8" s="1"/>
  <c r="AA92" i="8"/>
  <c r="AC92" i="8" s="1"/>
  <c r="AA76" i="8"/>
  <c r="AC76" i="8" s="1"/>
  <c r="AA68" i="8"/>
  <c r="AC68" i="8" s="1"/>
  <c r="AA60" i="8"/>
  <c r="AC60" i="8" s="1"/>
  <c r="AA52" i="8"/>
  <c r="AC52" i="8" s="1"/>
  <c r="AA44" i="8"/>
  <c r="AC44" i="8" s="1"/>
  <c r="AA115" i="8"/>
  <c r="AC115" i="8" s="1"/>
  <c r="AA120" i="8"/>
  <c r="AC120" i="8" s="1"/>
  <c r="AA112" i="8"/>
  <c r="AC112" i="8" s="1"/>
  <c r="AA104" i="8"/>
  <c r="AC104" i="8" s="1"/>
  <c r="AA96" i="8"/>
  <c r="AC96" i="8" s="1"/>
  <c r="AA88" i="8"/>
  <c r="AC88" i="8" s="1"/>
  <c r="AA80" i="8"/>
  <c r="AC80" i="8" s="1"/>
  <c r="AA72" i="8"/>
  <c r="AC72" i="8" s="1"/>
  <c r="AA64" i="8"/>
  <c r="AC64" i="8" s="1"/>
  <c r="AA56" i="8"/>
  <c r="AC56" i="8" s="1"/>
  <c r="AA48" i="8"/>
  <c r="AC48" i="8" s="1"/>
  <c r="AA40" i="8"/>
  <c r="AC40" i="8" s="1"/>
  <c r="AA119" i="8"/>
  <c r="AC119" i="8" s="1"/>
  <c r="AA111" i="8"/>
  <c r="AC111" i="8" s="1"/>
  <c r="AA103" i="8"/>
  <c r="AC103" i="8" s="1"/>
  <c r="AA95" i="8"/>
  <c r="AC95" i="8" s="1"/>
  <c r="AA87" i="8"/>
  <c r="AC87" i="8" s="1"/>
  <c r="AA79" i="8"/>
  <c r="AC79" i="8" s="1"/>
  <c r="AA71" i="8"/>
  <c r="AC71" i="8" s="1"/>
  <c r="AA63" i="8"/>
  <c r="AC63" i="8" s="1"/>
  <c r="AA55" i="8"/>
  <c r="AC55" i="8" s="1"/>
  <c r="AA47" i="8"/>
  <c r="AC47" i="8" s="1"/>
  <c r="AA39" i="8"/>
  <c r="AC39" i="8" s="1"/>
  <c r="L11" i="8"/>
  <c r="AA84" i="8"/>
  <c r="AC84" i="8" s="1"/>
  <c r="AA118" i="8"/>
  <c r="AC118" i="8" s="1"/>
  <c r="AA110" i="8"/>
  <c r="AC110" i="8" s="1"/>
  <c r="AA102" i="8"/>
  <c r="AC102" i="8" s="1"/>
  <c r="AA94" i="8"/>
  <c r="AC94" i="8" s="1"/>
  <c r="AA86" i="8"/>
  <c r="AC86" i="8" s="1"/>
  <c r="AA78" i="8"/>
  <c r="AC78" i="8" s="1"/>
  <c r="AA70" i="8"/>
  <c r="AC70" i="8" s="1"/>
  <c r="AA62" i="8"/>
  <c r="AC62" i="8" s="1"/>
  <c r="AA54" i="8"/>
  <c r="AC54" i="8" s="1"/>
  <c r="AA46" i="8"/>
  <c r="AC46" i="8" s="1"/>
  <c r="AA38" i="8"/>
  <c r="AC38" i="8" s="1"/>
  <c r="AA117" i="8"/>
  <c r="AC117" i="8" s="1"/>
  <c r="AA109" i="8"/>
  <c r="AC109" i="8" s="1"/>
  <c r="AA101" i="8"/>
  <c r="AC101" i="8" s="1"/>
  <c r="AA93" i="8"/>
  <c r="AC93" i="8" s="1"/>
  <c r="AA85" i="8"/>
  <c r="AC85" i="8" s="1"/>
  <c r="AA77" i="8"/>
  <c r="AC77" i="8" s="1"/>
  <c r="AA69" i="8"/>
  <c r="AC69" i="8" s="1"/>
  <c r="AA61" i="8"/>
  <c r="AC61" i="8" s="1"/>
  <c r="AA53" i="8"/>
  <c r="AC53" i="8" s="1"/>
  <c r="AA45" i="8"/>
  <c r="AC45" i="8" s="1"/>
  <c r="G11" i="8"/>
  <c r="AA37" i="7"/>
  <c r="AC37" i="7" s="1"/>
  <c r="AA36" i="7"/>
  <c r="AC36" i="7" s="1"/>
  <c r="AA35" i="7"/>
  <c r="AC35" i="7" s="1"/>
  <c r="AA34" i="7"/>
  <c r="AC34" i="7" s="1"/>
  <c r="AA33" i="7"/>
  <c r="AC33" i="7" s="1"/>
  <c r="AA32" i="7"/>
  <c r="AC32" i="7" s="1"/>
  <c r="AA31" i="7"/>
  <c r="AC31" i="7" s="1"/>
  <c r="AA30" i="7"/>
  <c r="AC30" i="7" s="1"/>
  <c r="AA29" i="7"/>
  <c r="AC29" i="7" s="1"/>
  <c r="AA28" i="7"/>
  <c r="AC28" i="7" s="1"/>
  <c r="AA27" i="7"/>
  <c r="AC27" i="7" s="1"/>
  <c r="AA26" i="7"/>
  <c r="AC26" i="7" s="1"/>
  <c r="AA25" i="7"/>
  <c r="AC25" i="7" s="1"/>
  <c r="AA24" i="7"/>
  <c r="AC24" i="7" s="1"/>
  <c r="AA23" i="7"/>
  <c r="AC23" i="7" s="1"/>
  <c r="AA22" i="7"/>
  <c r="AC22" i="7" s="1"/>
  <c r="AA21" i="7"/>
  <c r="AC21" i="7" s="1"/>
  <c r="AA20" i="7"/>
  <c r="AC20" i="7" s="1"/>
  <c r="AA19" i="7"/>
  <c r="AC19" i="7" s="1"/>
  <c r="AA18" i="7"/>
  <c r="AC18" i="7" s="1"/>
  <c r="AA17" i="7"/>
  <c r="AC17" i="7" s="1"/>
  <c r="AA39" i="7"/>
  <c r="AC39" i="7" s="1"/>
  <c r="AA117" i="7"/>
  <c r="AC117" i="7" s="1"/>
  <c r="AA107" i="7"/>
  <c r="AC107" i="7" s="1"/>
  <c r="AA93" i="7"/>
  <c r="AC93" i="7" s="1"/>
  <c r="AA75" i="7"/>
  <c r="AC75" i="7" s="1"/>
  <c r="AA59" i="7"/>
  <c r="AC59" i="7" s="1"/>
  <c r="AA44" i="7"/>
  <c r="AC44" i="7" s="1"/>
  <c r="AA118" i="7"/>
  <c r="AC118" i="7" s="1"/>
  <c r="AA110" i="7"/>
  <c r="AC110" i="7" s="1"/>
  <c r="AA102" i="7"/>
  <c r="AC102" i="7" s="1"/>
  <c r="AA94" i="7"/>
  <c r="AC94" i="7" s="1"/>
  <c r="AA86" i="7"/>
  <c r="AC86" i="7" s="1"/>
  <c r="AA78" i="7"/>
  <c r="AC78" i="7" s="1"/>
  <c r="AA70" i="7"/>
  <c r="AC70" i="7" s="1"/>
  <c r="AA62" i="7"/>
  <c r="AC62" i="7" s="1"/>
  <c r="AA54" i="7"/>
  <c r="AC54" i="7" s="1"/>
  <c r="AA46" i="7"/>
  <c r="AC46" i="7" s="1"/>
  <c r="AA103" i="7"/>
  <c r="AC103" i="7" s="1"/>
  <c r="AA87" i="7"/>
  <c r="AC87" i="7" s="1"/>
  <c r="AA73" i="7"/>
  <c r="AC73" i="7" s="1"/>
  <c r="AA57" i="7"/>
  <c r="AC57" i="7" s="1"/>
  <c r="X11" i="7"/>
  <c r="P11" i="7"/>
  <c r="AA115" i="7"/>
  <c r="AC115" i="7" s="1"/>
  <c r="AA105" i="7"/>
  <c r="AC105" i="7" s="1"/>
  <c r="AA89" i="7"/>
  <c r="AC89" i="7" s="1"/>
  <c r="AA71" i="7"/>
  <c r="AC71" i="7" s="1"/>
  <c r="AA55" i="7"/>
  <c r="AC55" i="7" s="1"/>
  <c r="AA40" i="7"/>
  <c r="AC40" i="7" s="1"/>
  <c r="AA116" i="7"/>
  <c r="AC116" i="7" s="1"/>
  <c r="AA108" i="7"/>
  <c r="AC108" i="7" s="1"/>
  <c r="AA100" i="7"/>
  <c r="AC100" i="7" s="1"/>
  <c r="AA92" i="7"/>
  <c r="AC92" i="7" s="1"/>
  <c r="AA84" i="7"/>
  <c r="AC84" i="7" s="1"/>
  <c r="AA76" i="7"/>
  <c r="AC76" i="7" s="1"/>
  <c r="AA68" i="7"/>
  <c r="AC68" i="7" s="1"/>
  <c r="AA60" i="7"/>
  <c r="AC60" i="7" s="1"/>
  <c r="AA52" i="7"/>
  <c r="AC52" i="7" s="1"/>
  <c r="AA42" i="7"/>
  <c r="AC42" i="7" s="1"/>
  <c r="AA99" i="7"/>
  <c r="AC99" i="7" s="1"/>
  <c r="AA85" i="7"/>
  <c r="AC85" i="7" s="1"/>
  <c r="AA69" i="7"/>
  <c r="AC69" i="7" s="1"/>
  <c r="AA53" i="7"/>
  <c r="AC53" i="7" s="1"/>
  <c r="T10" i="7"/>
  <c r="L10" i="7"/>
  <c r="M25" i="5"/>
  <c r="M35" i="5"/>
  <c r="M26" i="5"/>
  <c r="M23" i="5"/>
  <c r="M38" i="5"/>
  <c r="M39" i="5"/>
  <c r="M34" i="5"/>
  <c r="M33" i="5"/>
  <c r="M40" i="5"/>
  <c r="M30" i="5"/>
  <c r="M32" i="5"/>
  <c r="M20" i="5"/>
  <c r="M37" i="5"/>
  <c r="M27" i="5"/>
  <c r="M28" i="5"/>
  <c r="H46" i="5"/>
  <c r="H47" i="5" s="1"/>
  <c r="L46" i="5"/>
  <c r="L47" i="5" s="1"/>
  <c r="M29" i="5"/>
  <c r="AB18" i="6" l="1"/>
  <c r="AB75" i="6"/>
  <c r="AB61" i="6"/>
  <c r="AC24" i="6"/>
  <c r="AB93" i="6"/>
  <c r="AB23" i="6"/>
  <c r="AB100" i="6"/>
  <c r="AB109" i="6"/>
  <c r="AB77" i="6"/>
  <c r="AB41" i="6"/>
  <c r="AB25" i="6"/>
  <c r="AB86" i="6"/>
  <c r="AB32" i="6"/>
  <c r="AB84" i="6"/>
  <c r="AB59" i="6"/>
  <c r="AB121" i="6"/>
  <c r="AB105" i="6"/>
  <c r="AB89" i="6"/>
  <c r="AB73" i="6"/>
  <c r="AB57" i="6"/>
  <c r="AB37" i="6"/>
  <c r="AB27" i="6"/>
  <c r="AB118" i="6"/>
  <c r="AB54" i="6"/>
  <c r="AB68" i="6"/>
  <c r="AB107" i="6"/>
  <c r="AB42" i="6"/>
  <c r="I11" i="13"/>
  <c r="AB70" i="6"/>
  <c r="AB43" i="6"/>
  <c r="AB102" i="6"/>
  <c r="AB34" i="6"/>
  <c r="AB116" i="6"/>
  <c r="AB52" i="6"/>
  <c r="AB91" i="6"/>
  <c r="AB66" i="6"/>
  <c r="AB112" i="6"/>
  <c r="AB71" i="6"/>
  <c r="H10" i="13"/>
  <c r="AB44" i="6"/>
  <c r="AB114" i="6"/>
  <c r="AB82" i="6"/>
  <c r="AB30" i="6"/>
  <c r="AB96" i="6"/>
  <c r="AB64" i="6"/>
  <c r="AB28" i="6"/>
  <c r="AB103" i="6"/>
  <c r="AB35" i="6"/>
  <c r="AB53" i="7"/>
  <c r="AB110" i="6"/>
  <c r="AB94" i="6"/>
  <c r="AB78" i="6"/>
  <c r="AB62" i="6"/>
  <c r="AB45" i="6"/>
  <c r="AB26" i="6"/>
  <c r="AB117" i="6"/>
  <c r="AB101" i="6"/>
  <c r="AB85" i="6"/>
  <c r="AB69" i="6"/>
  <c r="AB53" i="6"/>
  <c r="AB33" i="6"/>
  <c r="AB17" i="6"/>
  <c r="AB108" i="6"/>
  <c r="AB92" i="6"/>
  <c r="AB76" i="6"/>
  <c r="AB60" i="6"/>
  <c r="AB46" i="6"/>
  <c r="AB24" i="6"/>
  <c r="AB115" i="6"/>
  <c r="AB99" i="6"/>
  <c r="AB83" i="6"/>
  <c r="AB67" i="6"/>
  <c r="AB51" i="6"/>
  <c r="AB31" i="6"/>
  <c r="AB39" i="6"/>
  <c r="AB98" i="6"/>
  <c r="AB50" i="6"/>
  <c r="AB21" i="6"/>
  <c r="AB80" i="6"/>
  <c r="AB48" i="6"/>
  <c r="AB119" i="6"/>
  <c r="AB87" i="6"/>
  <c r="AB55" i="6"/>
  <c r="AB19" i="6"/>
  <c r="AB122" i="6"/>
  <c r="AB106" i="6"/>
  <c r="AB90" i="6"/>
  <c r="AB74" i="6"/>
  <c r="AB58" i="6"/>
  <c r="AB38" i="6"/>
  <c r="AB22" i="6"/>
  <c r="AB113" i="6"/>
  <c r="AB97" i="6"/>
  <c r="AB81" i="6"/>
  <c r="AB65" i="6"/>
  <c r="F48" i="5" s="1"/>
  <c r="AB49" i="6"/>
  <c r="AB29" i="6"/>
  <c r="AB120" i="6"/>
  <c r="AB104" i="6"/>
  <c r="AB88" i="6"/>
  <c r="AB72" i="6"/>
  <c r="AB56" i="6"/>
  <c r="AB36" i="6"/>
  <c r="AB20" i="6"/>
  <c r="AB111" i="6"/>
  <c r="AB95" i="6"/>
  <c r="AB79" i="6"/>
  <c r="AB63" i="6"/>
  <c r="AB47" i="6"/>
  <c r="H11" i="11"/>
  <c r="G6" i="11"/>
  <c r="G7" i="11"/>
  <c r="AB53" i="8"/>
  <c r="AB85" i="8"/>
  <c r="H11" i="13"/>
  <c r="G6" i="12"/>
  <c r="G7" i="12"/>
  <c r="G7" i="13"/>
  <c r="G6" i="13"/>
  <c r="J7" i="13"/>
  <c r="J6" i="13"/>
  <c r="K7" i="13"/>
  <c r="K6" i="13"/>
  <c r="AB40" i="6"/>
  <c r="H11" i="12"/>
  <c r="I10" i="13"/>
  <c r="AB17" i="10"/>
  <c r="AB37" i="10"/>
  <c r="AB19" i="10"/>
  <c r="AB26" i="10"/>
  <c r="AB58" i="10"/>
  <c r="AB90" i="10"/>
  <c r="AB95" i="10"/>
  <c r="AB63" i="10"/>
  <c r="AB44" i="10"/>
  <c r="AB76" i="10"/>
  <c r="AB108" i="10"/>
  <c r="AB55" i="10"/>
  <c r="AB25" i="10"/>
  <c r="AB30" i="10"/>
  <c r="AB62" i="10"/>
  <c r="AB94" i="10"/>
  <c r="AB77" i="10"/>
  <c r="AB109" i="10"/>
  <c r="AB69" i="10"/>
  <c r="AB45" i="10"/>
  <c r="AB93" i="10"/>
  <c r="AB87" i="10"/>
  <c r="AB47" i="10"/>
  <c r="AB40" i="10"/>
  <c r="AB72" i="10"/>
  <c r="AB104" i="10"/>
  <c r="AB71" i="10"/>
  <c r="AB35" i="10"/>
  <c r="AB34" i="10"/>
  <c r="AB66" i="10"/>
  <c r="AB98" i="10"/>
  <c r="AB23" i="10"/>
  <c r="AB111" i="10"/>
  <c r="AB20" i="10"/>
  <c r="AB52" i="10"/>
  <c r="AB84" i="10"/>
  <c r="AB116" i="10"/>
  <c r="AB79" i="10"/>
  <c r="AB43" i="10"/>
  <c r="AB38" i="10"/>
  <c r="AB70" i="10"/>
  <c r="AB102" i="10"/>
  <c r="AB49" i="10"/>
  <c r="AB81" i="10"/>
  <c r="AB117" i="10"/>
  <c r="AB73" i="10"/>
  <c r="AB57" i="10"/>
  <c r="AB97" i="10"/>
  <c r="AB103" i="10"/>
  <c r="AB31" i="10"/>
  <c r="AB48" i="10"/>
  <c r="AB80" i="10"/>
  <c r="AB112" i="10"/>
  <c r="AB91" i="10"/>
  <c r="AB59" i="10"/>
  <c r="AB42" i="10"/>
  <c r="AB74" i="10"/>
  <c r="AB106" i="10"/>
  <c r="AB51" i="10"/>
  <c r="AB21" i="10"/>
  <c r="AB28" i="10"/>
  <c r="AB60" i="10"/>
  <c r="AB92" i="10"/>
  <c r="AB99" i="10"/>
  <c r="AB83" i="10"/>
  <c r="AB46" i="10"/>
  <c r="AB78" i="10"/>
  <c r="AB110" i="10"/>
  <c r="AB53" i="10"/>
  <c r="AB101" i="10"/>
  <c r="AB121" i="10"/>
  <c r="AB85" i="10"/>
  <c r="AB61" i="10"/>
  <c r="AB122" i="10"/>
  <c r="AB119" i="10"/>
  <c r="AB24" i="10"/>
  <c r="AB56" i="10"/>
  <c r="AB88" i="10"/>
  <c r="AB120" i="10"/>
  <c r="AB107" i="10"/>
  <c r="AB18" i="10"/>
  <c r="AB50" i="10"/>
  <c r="AB82" i="10"/>
  <c r="AB114" i="10"/>
  <c r="AB75" i="10"/>
  <c r="AB39" i="10"/>
  <c r="AB36" i="10"/>
  <c r="AB68" i="10"/>
  <c r="AB100" i="10"/>
  <c r="AB27" i="10"/>
  <c r="AB115" i="10"/>
  <c r="AB22" i="10"/>
  <c r="AB54" i="10"/>
  <c r="AB86" i="10"/>
  <c r="AB118" i="10"/>
  <c r="AB65" i="10"/>
  <c r="AB105" i="10"/>
  <c r="AB41" i="10"/>
  <c r="AB113" i="10"/>
  <c r="AB89" i="10"/>
  <c r="AB67" i="10"/>
  <c r="AB29" i="10"/>
  <c r="AB32" i="10"/>
  <c r="AB64" i="10"/>
  <c r="AB96" i="10"/>
  <c r="AB33" i="10"/>
  <c r="AB93" i="8"/>
  <c r="AB45" i="8"/>
  <c r="AB77" i="8"/>
  <c r="AB109" i="8"/>
  <c r="AB54" i="8"/>
  <c r="AB86" i="8"/>
  <c r="AB118" i="8"/>
  <c r="AB47" i="8"/>
  <c r="AB79" i="8"/>
  <c r="AB111" i="8"/>
  <c r="AB56" i="8"/>
  <c r="AB88" i="8"/>
  <c r="AB120" i="8"/>
  <c r="AB60" i="8"/>
  <c r="AB100" i="8"/>
  <c r="AB18" i="8"/>
  <c r="AB22" i="8"/>
  <c r="AB26" i="8"/>
  <c r="AB30" i="8"/>
  <c r="AB34" i="8"/>
  <c r="AB73" i="8"/>
  <c r="AB105" i="8"/>
  <c r="AB50" i="8"/>
  <c r="AB82" i="8"/>
  <c r="AB114" i="8"/>
  <c r="AB51" i="8"/>
  <c r="AB91" i="8"/>
  <c r="AB117" i="8"/>
  <c r="AB62" i="8"/>
  <c r="AB94" i="8"/>
  <c r="AB84" i="8"/>
  <c r="AB55" i="8"/>
  <c r="AB87" i="8"/>
  <c r="AB119" i="8"/>
  <c r="AB64" i="8"/>
  <c r="AB96" i="8"/>
  <c r="AB115" i="8"/>
  <c r="AB68" i="8"/>
  <c r="AB108" i="8"/>
  <c r="AB19" i="8"/>
  <c r="AB23" i="8"/>
  <c r="AB27" i="8"/>
  <c r="AB31" i="8"/>
  <c r="AB35" i="8"/>
  <c r="AB49" i="8"/>
  <c r="AB81" i="8"/>
  <c r="AB113" i="8"/>
  <c r="AB58" i="8"/>
  <c r="AB90" i="8"/>
  <c r="AB122" i="8"/>
  <c r="AB59" i="8"/>
  <c r="AB99" i="8"/>
  <c r="AB38" i="8"/>
  <c r="AB102" i="8"/>
  <c r="AB63" i="8"/>
  <c r="AB95" i="8"/>
  <c r="AB40" i="8"/>
  <c r="AB72" i="8"/>
  <c r="AB104" i="8"/>
  <c r="AB44" i="8"/>
  <c r="AB76" i="8"/>
  <c r="AB116" i="8"/>
  <c r="AB20" i="8"/>
  <c r="AB24" i="8"/>
  <c r="AB28" i="8"/>
  <c r="AB32" i="8"/>
  <c r="AB36" i="8"/>
  <c r="AB57" i="8"/>
  <c r="AB89" i="8"/>
  <c r="AB121" i="8"/>
  <c r="AB66" i="8"/>
  <c r="AB98" i="8"/>
  <c r="AB67" i="8"/>
  <c r="AB75" i="8"/>
  <c r="AB107" i="8"/>
  <c r="AB61" i="8"/>
  <c r="AB70" i="8"/>
  <c r="AB69" i="8"/>
  <c r="AB101" i="8"/>
  <c r="AB46" i="8"/>
  <c r="AB78" i="8"/>
  <c r="AB110" i="8"/>
  <c r="AB39" i="8"/>
  <c r="AB71" i="8"/>
  <c r="AB103" i="8"/>
  <c r="AB48" i="8"/>
  <c r="AB80" i="8"/>
  <c r="AB112" i="8"/>
  <c r="AB52" i="8"/>
  <c r="AB92" i="8"/>
  <c r="AB17" i="8"/>
  <c r="AB21" i="8"/>
  <c r="AB25" i="8"/>
  <c r="AB29" i="8"/>
  <c r="AB33" i="8"/>
  <c r="AB37" i="8"/>
  <c r="AB65" i="8"/>
  <c r="AB97" i="8"/>
  <c r="AB42" i="8"/>
  <c r="AB74" i="8"/>
  <c r="AB106" i="8"/>
  <c r="AB43" i="8"/>
  <c r="AB83" i="8"/>
  <c r="AB41" i="8"/>
  <c r="AB42" i="7"/>
  <c r="AB108" i="7"/>
  <c r="AB77" i="7"/>
  <c r="AB70" i="7"/>
  <c r="AB59" i="7"/>
  <c r="AB19" i="7"/>
  <c r="AB27" i="7"/>
  <c r="AB35" i="7"/>
  <c r="AB56" i="7"/>
  <c r="AB49" i="7"/>
  <c r="AB38" i="7"/>
  <c r="AB51" i="7"/>
  <c r="AB52" i="7"/>
  <c r="AB116" i="7"/>
  <c r="AB80" i="7"/>
  <c r="AB83" i="7"/>
  <c r="AB46" i="7"/>
  <c r="AB110" i="7"/>
  <c r="AB39" i="7"/>
  <c r="AB24" i="7"/>
  <c r="AB32" i="7"/>
  <c r="AB112" i="7"/>
  <c r="AB85" i="7"/>
  <c r="AB60" i="7"/>
  <c r="AB92" i="7"/>
  <c r="AB40" i="7"/>
  <c r="AB105" i="7"/>
  <c r="AB104" i="7"/>
  <c r="AB74" i="7"/>
  <c r="AB113" i="7"/>
  <c r="AB73" i="7"/>
  <c r="AB54" i="7"/>
  <c r="AB86" i="7"/>
  <c r="AB118" i="7"/>
  <c r="AB93" i="7"/>
  <c r="AB17" i="7"/>
  <c r="AB21" i="7"/>
  <c r="AB25" i="7"/>
  <c r="AB29" i="7"/>
  <c r="AB33" i="7"/>
  <c r="AB37" i="7"/>
  <c r="AB43" i="7"/>
  <c r="AB72" i="7"/>
  <c r="AB47" i="7"/>
  <c r="AB121" i="7"/>
  <c r="AB95" i="7"/>
  <c r="AB58" i="7"/>
  <c r="AB106" i="7"/>
  <c r="AB101" i="7"/>
  <c r="AB76" i="7"/>
  <c r="AB71" i="7"/>
  <c r="AB63" i="7"/>
  <c r="AB122" i="7"/>
  <c r="AB103" i="7"/>
  <c r="AB102" i="7"/>
  <c r="AB117" i="7"/>
  <c r="AB23" i="7"/>
  <c r="AB31" i="7"/>
  <c r="AB91" i="7"/>
  <c r="AB96" i="7"/>
  <c r="AB97" i="7"/>
  <c r="AB82" i="7"/>
  <c r="AB69" i="7"/>
  <c r="AB84" i="7"/>
  <c r="AB89" i="7"/>
  <c r="AB65" i="7"/>
  <c r="AB57" i="7"/>
  <c r="AB78" i="7"/>
  <c r="AB75" i="7"/>
  <c r="AB20" i="7"/>
  <c r="AB28" i="7"/>
  <c r="AB36" i="7"/>
  <c r="AB109" i="7"/>
  <c r="AB64" i="7"/>
  <c r="AB111" i="7"/>
  <c r="AB81" i="7"/>
  <c r="AB50" i="7"/>
  <c r="AB98" i="7"/>
  <c r="AB67" i="7"/>
  <c r="AB99" i="7"/>
  <c r="AB68" i="7"/>
  <c r="AB100" i="7"/>
  <c r="AB55" i="7"/>
  <c r="AB115" i="7"/>
  <c r="AB120" i="7"/>
  <c r="AB90" i="7"/>
  <c r="AB87" i="7"/>
  <c r="AB62" i="7"/>
  <c r="AB94" i="7"/>
  <c r="AB44" i="7"/>
  <c r="AB107" i="7"/>
  <c r="AB18" i="7"/>
  <c r="AB22" i="7"/>
  <c r="AB26" i="7"/>
  <c r="AB30" i="7"/>
  <c r="AB34" i="7"/>
  <c r="AB61" i="7"/>
  <c r="AB48" i="7"/>
  <c r="AB88" i="7"/>
  <c r="AB79" i="7"/>
  <c r="AB41" i="7"/>
  <c r="AB119" i="7"/>
  <c r="AB66" i="7"/>
  <c r="AB114" i="7"/>
  <c r="AB45" i="7"/>
  <c r="M46" i="5"/>
  <c r="M47" i="5" s="1"/>
  <c r="S8" i="4"/>
  <c r="G8" i="4"/>
  <c r="I8" i="4"/>
  <c r="J8" i="4"/>
  <c r="K8" i="4"/>
  <c r="L8" i="4"/>
  <c r="M8" i="4"/>
  <c r="N8" i="4"/>
  <c r="O8" i="4"/>
  <c r="P8" i="4"/>
  <c r="Q8" i="4"/>
  <c r="R8" i="4"/>
  <c r="T8" i="4"/>
  <c r="U8" i="4"/>
  <c r="V8" i="4"/>
  <c r="W8" i="4"/>
  <c r="X8" i="4"/>
  <c r="G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G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G11" i="12" l="1"/>
  <c r="G10" i="11"/>
  <c r="K11" i="13"/>
  <c r="G11" i="13"/>
  <c r="G11" i="11"/>
  <c r="J10" i="13"/>
  <c r="J11" i="13"/>
  <c r="G10" i="12"/>
  <c r="K10" i="13"/>
  <c r="G10" i="13"/>
  <c r="B2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7" i="4"/>
  <c r="X15" i="4" l="1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G15" i="4"/>
  <c r="Y14" i="4"/>
  <c r="X14" i="4"/>
  <c r="W14" i="4"/>
  <c r="V14" i="4"/>
  <c r="U14" i="4"/>
  <c r="T14" i="4"/>
  <c r="S14" i="4"/>
  <c r="R14" i="4"/>
  <c r="Q14" i="4"/>
  <c r="L14" i="4"/>
  <c r="P14" i="4"/>
  <c r="O14" i="4"/>
  <c r="N14" i="4"/>
  <c r="M14" i="4"/>
  <c r="K14" i="4"/>
  <c r="J14" i="4"/>
  <c r="I14" i="4"/>
  <c r="H14" i="4"/>
  <c r="G14" i="4"/>
  <c r="F14" i="4"/>
  <c r="I7" i="4" l="1"/>
  <c r="I6" i="4"/>
  <c r="M7" i="4"/>
  <c r="M6" i="4"/>
  <c r="Q7" i="4"/>
  <c r="Q6" i="4"/>
  <c r="U7" i="4"/>
  <c r="U6" i="4"/>
  <c r="J6" i="4"/>
  <c r="J7" i="4"/>
  <c r="N6" i="4"/>
  <c r="N7" i="4"/>
  <c r="R6" i="4"/>
  <c r="R7" i="4"/>
  <c r="V6" i="4"/>
  <c r="V7" i="4"/>
  <c r="K6" i="4"/>
  <c r="K7" i="4"/>
  <c r="O6" i="4"/>
  <c r="O7" i="4"/>
  <c r="S6" i="4"/>
  <c r="S7" i="4"/>
  <c r="W6" i="4"/>
  <c r="W7" i="4"/>
  <c r="G6" i="4"/>
  <c r="G7" i="4"/>
  <c r="L6" i="4"/>
  <c r="L7" i="4"/>
  <c r="L11" i="4" s="1"/>
  <c r="P6" i="4"/>
  <c r="P7" i="4"/>
  <c r="T6" i="4"/>
  <c r="T7" i="4"/>
  <c r="T11" i="4" s="1"/>
  <c r="X7" i="4"/>
  <c r="X6" i="4"/>
  <c r="Z15" i="4"/>
  <c r="AA54" i="4" s="1"/>
  <c r="AC54" i="4" s="1"/>
  <c r="AA74" i="4"/>
  <c r="AC74" i="4" s="1"/>
  <c r="AA105" i="4"/>
  <c r="AC105" i="4" s="1"/>
  <c r="AA61" i="4"/>
  <c r="AC61" i="4" s="1"/>
  <c r="AA57" i="4"/>
  <c r="AC57" i="4" s="1"/>
  <c r="AA110" i="4"/>
  <c r="AC110" i="4" s="1"/>
  <c r="AA65" i="4"/>
  <c r="AC65" i="4" s="1"/>
  <c r="AA62" i="4"/>
  <c r="AC62" i="4" s="1"/>
  <c r="AA117" i="4"/>
  <c r="AC117" i="4" s="1"/>
  <c r="AA85" i="4"/>
  <c r="AC85" i="4" s="1"/>
  <c r="AA82" i="4"/>
  <c r="AC82" i="4" s="1"/>
  <c r="AA53" i="4"/>
  <c r="AC53" i="4" s="1"/>
  <c r="AA18" i="4"/>
  <c r="AC18" i="4" s="1"/>
  <c r="AA20" i="4"/>
  <c r="AC20" i="4" s="1"/>
  <c r="AA19" i="4"/>
  <c r="AC19" i="4" s="1"/>
  <c r="AA21" i="4" l="1"/>
  <c r="AC21" i="4" s="1"/>
  <c r="AA50" i="4"/>
  <c r="AC50" i="4" s="1"/>
  <c r="AA114" i="4"/>
  <c r="AC114" i="4" s="1"/>
  <c r="AA100" i="4"/>
  <c r="AC100" i="4" s="1"/>
  <c r="AA99" i="4"/>
  <c r="AC99" i="4" s="1"/>
  <c r="P11" i="4"/>
  <c r="I10" i="4"/>
  <c r="AA29" i="4"/>
  <c r="AC29" i="4" s="1"/>
  <c r="AA28" i="4"/>
  <c r="AC28" i="4" s="1"/>
  <c r="AA34" i="4"/>
  <c r="AC34" i="4" s="1"/>
  <c r="AA66" i="4"/>
  <c r="AC66" i="4" s="1"/>
  <c r="AA98" i="4"/>
  <c r="AC98" i="4" s="1"/>
  <c r="AA46" i="4"/>
  <c r="AC46" i="4" s="1"/>
  <c r="AA81" i="4"/>
  <c r="AC81" i="4" s="1"/>
  <c r="AA121" i="4"/>
  <c r="AC121" i="4" s="1"/>
  <c r="AA77" i="4"/>
  <c r="AC77" i="4" s="1"/>
  <c r="AA42" i="4"/>
  <c r="AC42" i="4" s="1"/>
  <c r="AA27" i="4"/>
  <c r="AC27" i="4" s="1"/>
  <c r="AA26" i="4"/>
  <c r="AC26" i="4" s="1"/>
  <c r="AA37" i="4"/>
  <c r="AC37" i="4" s="1"/>
  <c r="AA69" i="4"/>
  <c r="AC69" i="4" s="1"/>
  <c r="AA101" i="4"/>
  <c r="AC101" i="4" s="1"/>
  <c r="AA49" i="4"/>
  <c r="AC49" i="4" s="1"/>
  <c r="AA84" i="4"/>
  <c r="AC84" i="4" s="1"/>
  <c r="AA41" i="4"/>
  <c r="AC41" i="4" s="1"/>
  <c r="AA83" i="4"/>
  <c r="AC83" i="4" s="1"/>
  <c r="AA17" i="4"/>
  <c r="AC17" i="4" s="1"/>
  <c r="F15" i="13"/>
  <c r="F15" i="12"/>
  <c r="F15" i="11"/>
  <c r="G11" i="4"/>
  <c r="L10" i="4"/>
  <c r="V11" i="4"/>
  <c r="V10" i="4"/>
  <c r="AA33" i="4"/>
  <c r="AC33" i="4" s="1"/>
  <c r="AA94" i="4"/>
  <c r="AC94" i="4" s="1"/>
  <c r="AA58" i="4"/>
  <c r="AC58" i="4" s="1"/>
  <c r="Q11" i="4"/>
  <c r="Q10" i="4"/>
  <c r="W10" i="4"/>
  <c r="W11" i="4"/>
  <c r="O10" i="4"/>
  <c r="O11" i="4"/>
  <c r="U11" i="4"/>
  <c r="U10" i="4"/>
  <c r="M11" i="4"/>
  <c r="M10" i="4"/>
  <c r="T10" i="4"/>
  <c r="N11" i="4"/>
  <c r="N10" i="4"/>
  <c r="AA25" i="4"/>
  <c r="AC25" i="4" s="1"/>
  <c r="AA32" i="4"/>
  <c r="AC32" i="4" s="1"/>
  <c r="AA24" i="4"/>
  <c r="AC24" i="4" s="1"/>
  <c r="AA40" i="4"/>
  <c r="AC40" i="4" s="1"/>
  <c r="AA56" i="4"/>
  <c r="AC56" i="4" s="1"/>
  <c r="AA72" i="4"/>
  <c r="AC72" i="4" s="1"/>
  <c r="AA88" i="4"/>
  <c r="AC88" i="4" s="1"/>
  <c r="AA104" i="4"/>
  <c r="AC104" i="4" s="1"/>
  <c r="AA36" i="4"/>
  <c r="AC36" i="4" s="1"/>
  <c r="AA52" i="4"/>
  <c r="AC52" i="4" s="1"/>
  <c r="AA68" i="4"/>
  <c r="AC68" i="4" s="1"/>
  <c r="AA113" i="4"/>
  <c r="AC113" i="4" s="1"/>
  <c r="AA45" i="4"/>
  <c r="AC45" i="4" s="1"/>
  <c r="AA67" i="4"/>
  <c r="AC67" i="4" s="1"/>
  <c r="AA89" i="4"/>
  <c r="AC89" i="4" s="1"/>
  <c r="AA109" i="4"/>
  <c r="AC109" i="4" s="1"/>
  <c r="S10" i="4"/>
  <c r="S11" i="4"/>
  <c r="K10" i="4"/>
  <c r="K11" i="4"/>
  <c r="AA31" i="4"/>
  <c r="AC31" i="4" s="1"/>
  <c r="AA23" i="4"/>
  <c r="AC23" i="4" s="1"/>
  <c r="AA30" i="4"/>
  <c r="AC30" i="4" s="1"/>
  <c r="AA22" i="4"/>
  <c r="AC22" i="4" s="1"/>
  <c r="AA35" i="4"/>
  <c r="AC35" i="4" s="1"/>
  <c r="AA43" i="4"/>
  <c r="AC43" i="4" s="1"/>
  <c r="AA59" i="4"/>
  <c r="AC59" i="4" s="1"/>
  <c r="AA75" i="4"/>
  <c r="AC75" i="4" s="1"/>
  <c r="AA91" i="4"/>
  <c r="AC91" i="4" s="1"/>
  <c r="AA107" i="4"/>
  <c r="AC107" i="4" s="1"/>
  <c r="AA39" i="4"/>
  <c r="AC39" i="4" s="1"/>
  <c r="AA55" i="4"/>
  <c r="AC55" i="4" s="1"/>
  <c r="AA78" i="4"/>
  <c r="AC78" i="4" s="1"/>
  <c r="AA97" i="4"/>
  <c r="AC97" i="4" s="1"/>
  <c r="AA116" i="4"/>
  <c r="AC116" i="4" s="1"/>
  <c r="AA51" i="4"/>
  <c r="AC51" i="4" s="1"/>
  <c r="AA73" i="4"/>
  <c r="AC73" i="4" s="1"/>
  <c r="AA93" i="4"/>
  <c r="AC93" i="4" s="1"/>
  <c r="AA38" i="4"/>
  <c r="AC38" i="4" s="1"/>
  <c r="AA70" i="4"/>
  <c r="AC70" i="4" s="1"/>
  <c r="X11" i="4"/>
  <c r="P10" i="4"/>
  <c r="G10" i="4"/>
  <c r="R11" i="4"/>
  <c r="R10" i="4"/>
  <c r="J11" i="4"/>
  <c r="J10" i="4"/>
  <c r="I11" i="4"/>
  <c r="AA71" i="4"/>
  <c r="AC71" i="4" s="1"/>
  <c r="AA87" i="4"/>
  <c r="AC87" i="4" s="1"/>
  <c r="AA103" i="4"/>
  <c r="AC103" i="4" s="1"/>
  <c r="AA119" i="4"/>
  <c r="AC119" i="4" s="1"/>
  <c r="AA47" i="4"/>
  <c r="AC47" i="4" s="1"/>
  <c r="AA63" i="4"/>
  <c r="AC63" i="4" s="1"/>
  <c r="AA79" i="4"/>
  <c r="AC79" i="4" s="1"/>
  <c r="AA95" i="4"/>
  <c r="AC95" i="4" s="1"/>
  <c r="AA111" i="4"/>
  <c r="AC111" i="4" s="1"/>
  <c r="AA44" i="4"/>
  <c r="AC44" i="4" s="1"/>
  <c r="AA60" i="4"/>
  <c r="AC60" i="4" s="1"/>
  <c r="AA76" i="4"/>
  <c r="AC76" i="4" s="1"/>
  <c r="AA115" i="4"/>
  <c r="AC115" i="4" s="1"/>
  <c r="AA48" i="4"/>
  <c r="AC48" i="4" s="1"/>
  <c r="AA64" i="4"/>
  <c r="AC64" i="4" s="1"/>
  <c r="AA122" i="4"/>
  <c r="AC122" i="4" s="1"/>
  <c r="AA80" i="4"/>
  <c r="AC80" i="4" s="1"/>
  <c r="AA86" i="4"/>
  <c r="AC86" i="4" s="1"/>
  <c r="AA90" i="4"/>
  <c r="AC90" i="4" s="1"/>
  <c r="AA92" i="4"/>
  <c r="AC92" i="4" s="1"/>
  <c r="AA96" i="4"/>
  <c r="AC96" i="4" s="1"/>
  <c r="AA108" i="4"/>
  <c r="AC108" i="4" s="1"/>
  <c r="AA112" i="4"/>
  <c r="AC112" i="4" s="1"/>
  <c r="AA102" i="4"/>
  <c r="AC102" i="4" s="1"/>
  <c r="AA118" i="4"/>
  <c r="AC118" i="4" s="1"/>
  <c r="AA106" i="4"/>
  <c r="AC106" i="4" s="1"/>
  <c r="AA120" i="4"/>
  <c r="AC120" i="4" s="1"/>
  <c r="B1" i="1"/>
  <c r="F7" i="11" l="1"/>
  <c r="I15" i="11"/>
  <c r="F6" i="11"/>
  <c r="F7" i="12"/>
  <c r="F6" i="12"/>
  <c r="I15" i="12"/>
  <c r="L15" i="13"/>
  <c r="F7" i="13"/>
  <c r="F6" i="13"/>
  <c r="AB64" i="4"/>
  <c r="AB60" i="4"/>
  <c r="AB94" i="4"/>
  <c r="AB103" i="4"/>
  <c r="AB47" i="4"/>
  <c r="AB31" i="4"/>
  <c r="AB36" i="4"/>
  <c r="AB25" i="4"/>
  <c r="AB108" i="4"/>
  <c r="AB70" i="4"/>
  <c r="AB51" i="4"/>
  <c r="AB55" i="4"/>
  <c r="AB22" i="4"/>
  <c r="AB40" i="4"/>
  <c r="AB122" i="4"/>
  <c r="AB120" i="4"/>
  <c r="AB104" i="4"/>
  <c r="AB88" i="4"/>
  <c r="AB72" i="4"/>
  <c r="AB82" i="4"/>
  <c r="AB107" i="4"/>
  <c r="AB91" i="4"/>
  <c r="AB75" i="4"/>
  <c r="AB106" i="4"/>
  <c r="AB117" i="4"/>
  <c r="AB101" i="4"/>
  <c r="AB85" i="4"/>
  <c r="AB17" i="4"/>
  <c r="AB18" i="4"/>
  <c r="AB46" i="4"/>
  <c r="AB62" i="4"/>
  <c r="AB54" i="4"/>
  <c r="AB26" i="4"/>
  <c r="AB59" i="4"/>
  <c r="AB68" i="4"/>
  <c r="AB58" i="4"/>
  <c r="AB110" i="4"/>
  <c r="AB116" i="4"/>
  <c r="AB100" i="4"/>
  <c r="AB84" i="4"/>
  <c r="AB118" i="4"/>
  <c r="AB119" i="4"/>
  <c r="AB87" i="4"/>
  <c r="AB71" i="4"/>
  <c r="AB113" i="4"/>
  <c r="AB97" i="4"/>
  <c r="AB81" i="4"/>
  <c r="AB61" i="4"/>
  <c r="AB19" i="4"/>
  <c r="AB34" i="4"/>
  <c r="AB50" i="4"/>
  <c r="AB41" i="4"/>
  <c r="AB42" i="4"/>
  <c r="AB38" i="4"/>
  <c r="AB39" i="4"/>
  <c r="AB30" i="4"/>
  <c r="AB24" i="4"/>
  <c r="AB48" i="4"/>
  <c r="AB44" i="4"/>
  <c r="AB63" i="4"/>
  <c r="AB43" i="4"/>
  <c r="AB23" i="4"/>
  <c r="AB67" i="4"/>
  <c r="AB52" i="4"/>
  <c r="AB32" i="4"/>
  <c r="AB98" i="4"/>
  <c r="AB112" i="4"/>
  <c r="AB96" i="4"/>
  <c r="AB80" i="4"/>
  <c r="AB102" i="4"/>
  <c r="AB115" i="4"/>
  <c r="AB99" i="4"/>
  <c r="AB83" i="4"/>
  <c r="AB74" i="4"/>
  <c r="AB78" i="4"/>
  <c r="AB109" i="4"/>
  <c r="AB93" i="4"/>
  <c r="AB77" i="4"/>
  <c r="AB65" i="4"/>
  <c r="AB69" i="4"/>
  <c r="AB28" i="4"/>
  <c r="AB20" i="4"/>
  <c r="AB49" i="4"/>
  <c r="AB66" i="4"/>
  <c r="AB35" i="4"/>
  <c r="AB45" i="4"/>
  <c r="AB56" i="4"/>
  <c r="AB33" i="4"/>
  <c r="AB86" i="4"/>
  <c r="AB92" i="4"/>
  <c r="AB76" i="4"/>
  <c r="AB90" i="4"/>
  <c r="AB111" i="4"/>
  <c r="AB95" i="4"/>
  <c r="AB79" i="4"/>
  <c r="AB114" i="4"/>
  <c r="AB121" i="4"/>
  <c r="AB105" i="4"/>
  <c r="AB89" i="4"/>
  <c r="AB73" i="4"/>
  <c r="AB53" i="4"/>
  <c r="AB27" i="4"/>
  <c r="AB57" i="4"/>
  <c r="AB21" i="4"/>
  <c r="AB37" i="4"/>
  <c r="AB29" i="4"/>
  <c r="F11" i="13" l="1"/>
  <c r="F11" i="12"/>
  <c r="F11" i="11"/>
  <c r="F10" i="11"/>
  <c r="M17" i="13"/>
  <c r="M32" i="13"/>
  <c r="M87" i="13"/>
  <c r="M47" i="13"/>
  <c r="M80" i="13"/>
  <c r="M109" i="13"/>
  <c r="M55" i="13"/>
  <c r="M119" i="13"/>
  <c r="M77" i="13"/>
  <c r="M40" i="13"/>
  <c r="M71" i="13"/>
  <c r="M43" i="13"/>
  <c r="M46" i="13"/>
  <c r="M58" i="13"/>
  <c r="M120" i="13"/>
  <c r="M117" i="13"/>
  <c r="M104" i="13"/>
  <c r="M111" i="13"/>
  <c r="M44" i="13"/>
  <c r="M66" i="13"/>
  <c r="M24" i="13"/>
  <c r="M83" i="13"/>
  <c r="M94" i="13"/>
  <c r="M54" i="13"/>
  <c r="M23" i="13"/>
  <c r="M91" i="13"/>
  <c r="M118" i="13"/>
  <c r="M121" i="13"/>
  <c r="M89" i="13"/>
  <c r="M57" i="13"/>
  <c r="M108" i="13"/>
  <c r="M76" i="13"/>
  <c r="M38" i="13"/>
  <c r="M22" i="13"/>
  <c r="M21" i="13"/>
  <c r="M96" i="13"/>
  <c r="M106" i="13"/>
  <c r="M29" i="13"/>
  <c r="M28" i="13"/>
  <c r="M72" i="13"/>
  <c r="M79" i="13"/>
  <c r="M82" i="13"/>
  <c r="M20" i="13"/>
  <c r="M51" i="13"/>
  <c r="M62" i="13"/>
  <c r="M19" i="13"/>
  <c r="M59" i="13"/>
  <c r="M42" i="13"/>
  <c r="M81" i="13"/>
  <c r="M45" i="13"/>
  <c r="M84" i="13"/>
  <c r="M34" i="13"/>
  <c r="M74" i="13"/>
  <c r="M33" i="13"/>
  <c r="M78" i="13"/>
  <c r="M107" i="13"/>
  <c r="M105" i="13"/>
  <c r="M100" i="13"/>
  <c r="M26" i="13"/>
  <c r="M103" i="13"/>
  <c r="M93" i="13"/>
  <c r="M90" i="13"/>
  <c r="M85" i="13"/>
  <c r="M101" i="13"/>
  <c r="M36" i="13"/>
  <c r="M63" i="13"/>
  <c r="M50" i="13"/>
  <c r="M115" i="13"/>
  <c r="M110" i="13"/>
  <c r="M35" i="13"/>
  <c r="M39" i="13"/>
  <c r="M49" i="13"/>
  <c r="M113" i="13"/>
  <c r="M73" i="13"/>
  <c r="M116" i="13"/>
  <c r="M68" i="13"/>
  <c r="M30" i="13"/>
  <c r="M41" i="13"/>
  <c r="M61" i="13"/>
  <c r="M88" i="13"/>
  <c r="M69" i="13"/>
  <c r="M122" i="13"/>
  <c r="M114" i="13"/>
  <c r="M99" i="13"/>
  <c r="M31" i="13"/>
  <c r="M102" i="13"/>
  <c r="M65" i="13"/>
  <c r="M60" i="13"/>
  <c r="M64" i="13"/>
  <c r="M53" i="13"/>
  <c r="M67" i="13"/>
  <c r="M86" i="13"/>
  <c r="M52" i="13"/>
  <c r="M37" i="13"/>
  <c r="M27" i="13"/>
  <c r="M56" i="13"/>
  <c r="M75" i="13"/>
  <c r="M112" i="13"/>
  <c r="M95" i="13"/>
  <c r="M70" i="13"/>
  <c r="M97" i="13"/>
  <c r="M18" i="13"/>
  <c r="M98" i="13"/>
  <c r="M48" i="13"/>
  <c r="M25" i="13"/>
  <c r="M92" i="13"/>
  <c r="J73" i="12"/>
  <c r="J67" i="12"/>
  <c r="J51" i="12"/>
  <c r="J71" i="12"/>
  <c r="J39" i="12"/>
  <c r="J55" i="12"/>
  <c r="J63" i="12"/>
  <c r="J20" i="12"/>
  <c r="J24" i="12"/>
  <c r="J28" i="12"/>
  <c r="J32" i="12"/>
  <c r="J36" i="12"/>
  <c r="J46" i="12"/>
  <c r="J62" i="12"/>
  <c r="J77" i="12"/>
  <c r="J53" i="12"/>
  <c r="J69" i="12"/>
  <c r="J119" i="12"/>
  <c r="J115" i="12"/>
  <c r="J111" i="12"/>
  <c r="J107" i="12"/>
  <c r="J103" i="12"/>
  <c r="J99" i="12"/>
  <c r="J95" i="12"/>
  <c r="J91" i="12"/>
  <c r="J87" i="12"/>
  <c r="J83" i="12"/>
  <c r="J79" i="12"/>
  <c r="J52" i="12"/>
  <c r="J68" i="12"/>
  <c r="J43" i="12"/>
  <c r="M43" i="12" s="1"/>
  <c r="J75" i="12"/>
  <c r="J17" i="12"/>
  <c r="J21" i="12"/>
  <c r="J25" i="12"/>
  <c r="J29" i="12"/>
  <c r="J33" i="12"/>
  <c r="J37" i="12"/>
  <c r="J50" i="12"/>
  <c r="J66" i="12"/>
  <c r="J41" i="12"/>
  <c r="J57" i="12"/>
  <c r="J122" i="12"/>
  <c r="J118" i="12"/>
  <c r="J114" i="12"/>
  <c r="J110" i="12"/>
  <c r="J106" i="12"/>
  <c r="J102" i="12"/>
  <c r="J98" i="12"/>
  <c r="J94" i="12"/>
  <c r="J90" i="12"/>
  <c r="J47" i="12"/>
  <c r="J18" i="12"/>
  <c r="J22" i="12"/>
  <c r="J26" i="12"/>
  <c r="J30" i="12"/>
  <c r="J34" i="12"/>
  <c r="J38" i="12"/>
  <c r="J54" i="12"/>
  <c r="J70" i="12"/>
  <c r="J45" i="12"/>
  <c r="J61" i="12"/>
  <c r="J121" i="12"/>
  <c r="J117" i="12"/>
  <c r="J113" i="12"/>
  <c r="J109" i="12"/>
  <c r="J105" i="12"/>
  <c r="J101" i="12"/>
  <c r="J97" i="12"/>
  <c r="J93" i="12"/>
  <c r="J89" i="12"/>
  <c r="J85" i="12"/>
  <c r="J81" i="12"/>
  <c r="J44" i="12"/>
  <c r="J60" i="12"/>
  <c r="J76" i="12"/>
  <c r="J59" i="12"/>
  <c r="J19" i="12"/>
  <c r="J23" i="12"/>
  <c r="J27" i="12"/>
  <c r="J31" i="12"/>
  <c r="J35" i="12"/>
  <c r="J42" i="12"/>
  <c r="J58" i="12"/>
  <c r="J74" i="12"/>
  <c r="J49" i="12"/>
  <c r="J65" i="12"/>
  <c r="J120" i="12"/>
  <c r="J116" i="12"/>
  <c r="J112" i="12"/>
  <c r="J108" i="12"/>
  <c r="J104" i="12"/>
  <c r="J100" i="12"/>
  <c r="J96" i="12"/>
  <c r="J92" i="12"/>
  <c r="J88" i="12"/>
  <c r="J84" i="12"/>
  <c r="J80" i="12"/>
  <c r="J48" i="12"/>
  <c r="J64" i="12"/>
  <c r="J78" i="12"/>
  <c r="J86" i="12"/>
  <c r="J82" i="12"/>
  <c r="J40" i="12"/>
  <c r="J56" i="12"/>
  <c r="J72" i="12"/>
  <c r="J121" i="11"/>
  <c r="J117" i="11"/>
  <c r="J113" i="11"/>
  <c r="J109" i="11"/>
  <c r="J105" i="11"/>
  <c r="J101" i="11"/>
  <c r="J97" i="11"/>
  <c r="J93" i="11"/>
  <c r="J89" i="11"/>
  <c r="J85" i="11"/>
  <c r="J81" i="11"/>
  <c r="J77" i="11"/>
  <c r="J73" i="11"/>
  <c r="J69" i="11"/>
  <c r="J65" i="11"/>
  <c r="J61" i="11"/>
  <c r="J57" i="11"/>
  <c r="J53" i="11"/>
  <c r="J40" i="11"/>
  <c r="J50" i="11"/>
  <c r="J37" i="11"/>
  <c r="J33" i="11"/>
  <c r="J29" i="11"/>
  <c r="J25" i="11"/>
  <c r="J21" i="11"/>
  <c r="J17" i="11"/>
  <c r="J39" i="11"/>
  <c r="J120" i="11"/>
  <c r="J116" i="11"/>
  <c r="J112" i="11"/>
  <c r="J108" i="11"/>
  <c r="J104" i="11"/>
  <c r="J100" i="11"/>
  <c r="J96" i="11"/>
  <c r="J92" i="11"/>
  <c r="J88" i="11"/>
  <c r="J84" i="11"/>
  <c r="J80" i="11"/>
  <c r="J76" i="11"/>
  <c r="J72" i="11"/>
  <c r="J68" i="11"/>
  <c r="J64" i="11"/>
  <c r="J60" i="11"/>
  <c r="J56" i="11"/>
  <c r="J52" i="11"/>
  <c r="J49" i="11"/>
  <c r="J46" i="11"/>
  <c r="J36" i="11"/>
  <c r="J32" i="11"/>
  <c r="J28" i="11"/>
  <c r="J24" i="11"/>
  <c r="J20" i="11"/>
  <c r="J51" i="11"/>
  <c r="J119" i="11"/>
  <c r="J115" i="11"/>
  <c r="J111" i="11"/>
  <c r="J107" i="11"/>
  <c r="J103" i="11"/>
  <c r="J99" i="11"/>
  <c r="J95" i="11"/>
  <c r="J91" i="11"/>
  <c r="J87" i="11"/>
  <c r="J83" i="11"/>
  <c r="J79" i="11"/>
  <c r="J75" i="11"/>
  <c r="J71" i="11"/>
  <c r="J67" i="11"/>
  <c r="J63" i="11"/>
  <c r="J59" i="11"/>
  <c r="J55" i="11"/>
  <c r="J48" i="11"/>
  <c r="J45" i="11"/>
  <c r="J42" i="11"/>
  <c r="J35" i="11"/>
  <c r="J31" i="11"/>
  <c r="J27" i="11"/>
  <c r="J23" i="11"/>
  <c r="J19" i="11"/>
  <c r="J47" i="11"/>
  <c r="J122" i="11"/>
  <c r="J118" i="11"/>
  <c r="J114" i="11"/>
  <c r="J110" i="11"/>
  <c r="J106" i="11"/>
  <c r="J102" i="11"/>
  <c r="J98" i="11"/>
  <c r="J94" i="11"/>
  <c r="J90" i="11"/>
  <c r="J86" i="11"/>
  <c r="J82" i="11"/>
  <c r="J78" i="11"/>
  <c r="J74" i="11"/>
  <c r="J70" i="11"/>
  <c r="J66" i="11"/>
  <c r="J62" i="11"/>
  <c r="J58" i="11"/>
  <c r="J54" i="11"/>
  <c r="J44" i="11"/>
  <c r="J41" i="11"/>
  <c r="J38" i="11"/>
  <c r="J34" i="11"/>
  <c r="J30" i="11"/>
  <c r="J26" i="11"/>
  <c r="J22" i="11"/>
  <c r="J18" i="11"/>
  <c r="J43" i="11"/>
  <c r="F10" i="13"/>
  <c r="F10" i="12"/>
  <c r="O99" i="13" l="1"/>
  <c r="N99" i="13"/>
  <c r="O88" i="13"/>
  <c r="N88" i="13"/>
  <c r="O68" i="13"/>
  <c r="N68" i="13"/>
  <c r="O49" i="13"/>
  <c r="N49" i="13"/>
  <c r="O115" i="13"/>
  <c r="N115" i="13"/>
  <c r="O101" i="13"/>
  <c r="N101" i="13"/>
  <c r="O103" i="13"/>
  <c r="N103" i="13"/>
  <c r="N107" i="13"/>
  <c r="O107" i="13"/>
  <c r="O34" i="13"/>
  <c r="N34" i="13"/>
  <c r="N42" i="13"/>
  <c r="O42" i="13"/>
  <c r="O51" i="13"/>
  <c r="N51" i="13"/>
  <c r="O72" i="13"/>
  <c r="N72" i="13"/>
  <c r="O96" i="13"/>
  <c r="N96" i="13"/>
  <c r="O76" i="13"/>
  <c r="N76" i="13"/>
  <c r="O121" i="13"/>
  <c r="N121" i="13"/>
  <c r="O54" i="13"/>
  <c r="N54" i="13"/>
  <c r="O66" i="13"/>
  <c r="N66" i="13"/>
  <c r="O117" i="13"/>
  <c r="N117" i="13"/>
  <c r="O43" i="13"/>
  <c r="N43" i="13"/>
  <c r="O119" i="13"/>
  <c r="N119" i="13"/>
  <c r="O47" i="13"/>
  <c r="N47" i="13"/>
  <c r="M22" i="11"/>
  <c r="K22" i="11"/>
  <c r="M63" i="11"/>
  <c r="K63" i="11"/>
  <c r="M120" i="11"/>
  <c r="K120" i="11"/>
  <c r="K86" i="12"/>
  <c r="M86" i="12"/>
  <c r="M38" i="12"/>
  <c r="K38" i="12"/>
  <c r="O56" i="13"/>
  <c r="N56" i="13"/>
  <c r="M67" i="11"/>
  <c r="K67" i="11"/>
  <c r="M65" i="11"/>
  <c r="K65" i="11"/>
  <c r="M74" i="12"/>
  <c r="K74" i="12"/>
  <c r="M18" i="12"/>
  <c r="K18" i="12"/>
  <c r="M91" i="12"/>
  <c r="K91" i="12"/>
  <c r="M39" i="12"/>
  <c r="K39" i="12"/>
  <c r="O67" i="13"/>
  <c r="N67" i="13"/>
  <c r="O39" i="13"/>
  <c r="N39" i="13"/>
  <c r="N26" i="13"/>
  <c r="O26" i="13"/>
  <c r="N59" i="13"/>
  <c r="O59" i="13"/>
  <c r="O20" i="13"/>
  <c r="N20" i="13"/>
  <c r="O28" i="13"/>
  <c r="N28" i="13"/>
  <c r="O21" i="13"/>
  <c r="N21" i="13"/>
  <c r="O94" i="13"/>
  <c r="N94" i="13"/>
  <c r="O44" i="13"/>
  <c r="N44" i="13"/>
  <c r="O120" i="13"/>
  <c r="N120" i="13"/>
  <c r="O71" i="13"/>
  <c r="N71" i="13"/>
  <c r="O55" i="13"/>
  <c r="N55" i="13"/>
  <c r="O87" i="13"/>
  <c r="N87" i="13"/>
  <c r="M38" i="11"/>
  <c r="K38" i="11"/>
  <c r="M74" i="11"/>
  <c r="K74" i="11"/>
  <c r="M106" i="11"/>
  <c r="K106" i="11"/>
  <c r="M27" i="11"/>
  <c r="K27" i="11"/>
  <c r="M79" i="11"/>
  <c r="K79" i="11"/>
  <c r="M111" i="11"/>
  <c r="K111" i="11"/>
  <c r="M36" i="11"/>
  <c r="K36" i="11"/>
  <c r="M72" i="11"/>
  <c r="K72" i="11"/>
  <c r="M104" i="11"/>
  <c r="K104" i="11"/>
  <c r="M50" i="11"/>
  <c r="K50" i="11"/>
  <c r="M77" i="11"/>
  <c r="K77" i="11"/>
  <c r="M109" i="11"/>
  <c r="K109" i="11"/>
  <c r="K80" i="12"/>
  <c r="M80" i="12"/>
  <c r="M112" i="12"/>
  <c r="K112" i="12"/>
  <c r="M35" i="12"/>
  <c r="K35" i="12"/>
  <c r="M44" i="12"/>
  <c r="K44" i="12"/>
  <c r="M109" i="12"/>
  <c r="K109" i="12"/>
  <c r="M22" i="12"/>
  <c r="K22" i="12"/>
  <c r="M110" i="12"/>
  <c r="K110" i="12"/>
  <c r="M37" i="12"/>
  <c r="K37" i="12"/>
  <c r="M68" i="12"/>
  <c r="K68" i="12"/>
  <c r="M103" i="12"/>
  <c r="K103" i="12"/>
  <c r="K62" i="12"/>
  <c r="M62" i="12"/>
  <c r="M55" i="12"/>
  <c r="K55" i="12"/>
  <c r="O48" i="13"/>
  <c r="N48" i="13"/>
  <c r="O60" i="13"/>
  <c r="N60" i="13"/>
  <c r="M26" i="11"/>
  <c r="K26" i="11"/>
  <c r="M62" i="11"/>
  <c r="K62" i="11"/>
  <c r="M78" i="11"/>
  <c r="K78" i="11"/>
  <c r="M110" i="11"/>
  <c r="K110" i="11"/>
  <c r="M48" i="11"/>
  <c r="K48" i="11"/>
  <c r="M99" i="11"/>
  <c r="K99" i="11"/>
  <c r="M24" i="11"/>
  <c r="K24" i="11"/>
  <c r="M46" i="11"/>
  <c r="K46" i="11"/>
  <c r="M76" i="11"/>
  <c r="K76" i="11"/>
  <c r="M108" i="11"/>
  <c r="K108" i="11"/>
  <c r="M29" i="11"/>
  <c r="K29" i="11"/>
  <c r="M81" i="11"/>
  <c r="K81" i="11"/>
  <c r="M113" i="11"/>
  <c r="K113" i="11"/>
  <c r="K78" i="12"/>
  <c r="M78" i="12"/>
  <c r="M100" i="12"/>
  <c r="K100" i="12"/>
  <c r="M31" i="12"/>
  <c r="K31" i="12"/>
  <c r="M81" i="12"/>
  <c r="K81" i="12"/>
  <c r="M113" i="12"/>
  <c r="K113" i="12"/>
  <c r="M45" i="12"/>
  <c r="K45" i="12"/>
  <c r="K98" i="12"/>
  <c r="M98" i="12"/>
  <c r="K41" i="12"/>
  <c r="M41" i="12"/>
  <c r="M17" i="12"/>
  <c r="K17" i="12"/>
  <c r="M69" i="12"/>
  <c r="K69" i="12"/>
  <c r="M24" i="12"/>
  <c r="K24" i="12"/>
  <c r="O98" i="13"/>
  <c r="N98" i="13"/>
  <c r="O27" i="13"/>
  <c r="N27" i="13"/>
  <c r="N65" i="13"/>
  <c r="O65" i="13"/>
  <c r="O61" i="13"/>
  <c r="N61" i="13"/>
  <c r="O50" i="13"/>
  <c r="N50" i="13"/>
  <c r="N84" i="13"/>
  <c r="O84" i="13"/>
  <c r="O118" i="13"/>
  <c r="N118" i="13"/>
  <c r="M43" i="11"/>
  <c r="K43" i="11"/>
  <c r="M30" i="11"/>
  <c r="K30" i="11"/>
  <c r="M44" i="11"/>
  <c r="K44" i="11"/>
  <c r="M66" i="11"/>
  <c r="K66" i="11"/>
  <c r="M82" i="11"/>
  <c r="K82" i="11"/>
  <c r="M98" i="11"/>
  <c r="K98" i="11"/>
  <c r="M114" i="11"/>
  <c r="K114" i="11"/>
  <c r="M19" i="11"/>
  <c r="K19" i="11"/>
  <c r="M35" i="11"/>
  <c r="K35" i="11"/>
  <c r="M55" i="11"/>
  <c r="K55" i="11"/>
  <c r="M71" i="11"/>
  <c r="K71" i="11"/>
  <c r="M87" i="11"/>
  <c r="K87" i="11"/>
  <c r="M103" i="11"/>
  <c r="K103" i="11"/>
  <c r="M119" i="11"/>
  <c r="K119" i="11"/>
  <c r="M28" i="11"/>
  <c r="K28" i="11"/>
  <c r="M49" i="11"/>
  <c r="K49" i="11"/>
  <c r="M64" i="11"/>
  <c r="K64" i="11"/>
  <c r="M80" i="11"/>
  <c r="K80" i="11"/>
  <c r="M96" i="11"/>
  <c r="K96" i="11"/>
  <c r="M112" i="11"/>
  <c r="K112" i="11"/>
  <c r="M17" i="11"/>
  <c r="K17" i="11"/>
  <c r="M33" i="11"/>
  <c r="K33" i="11"/>
  <c r="M53" i="11"/>
  <c r="K53" i="11"/>
  <c r="M69" i="11"/>
  <c r="K69" i="11"/>
  <c r="M85" i="11"/>
  <c r="K85" i="11"/>
  <c r="M101" i="11"/>
  <c r="K101" i="11"/>
  <c r="M117" i="11"/>
  <c r="K117" i="11"/>
  <c r="K43" i="12"/>
  <c r="M40" i="12"/>
  <c r="K40" i="12"/>
  <c r="K64" i="12"/>
  <c r="M64" i="12"/>
  <c r="M88" i="12"/>
  <c r="K88" i="12"/>
  <c r="M104" i="12"/>
  <c r="K104" i="12"/>
  <c r="M120" i="12"/>
  <c r="K120" i="12"/>
  <c r="M58" i="12"/>
  <c r="K58" i="12"/>
  <c r="M27" i="12"/>
  <c r="K27" i="12"/>
  <c r="M76" i="12"/>
  <c r="K76" i="12"/>
  <c r="K85" i="12"/>
  <c r="M85" i="12"/>
  <c r="K101" i="12"/>
  <c r="M101" i="12"/>
  <c r="K117" i="12"/>
  <c r="M117" i="12"/>
  <c r="M70" i="12"/>
  <c r="K70" i="12"/>
  <c r="M30" i="12"/>
  <c r="K30" i="12"/>
  <c r="M47" i="12"/>
  <c r="K47" i="12"/>
  <c r="M102" i="12"/>
  <c r="K102" i="12"/>
  <c r="K118" i="12"/>
  <c r="M118" i="12"/>
  <c r="M66" i="12"/>
  <c r="K66" i="12"/>
  <c r="K29" i="12"/>
  <c r="M29" i="12"/>
  <c r="M75" i="12"/>
  <c r="K75" i="12"/>
  <c r="M79" i="12"/>
  <c r="K79" i="12"/>
  <c r="M95" i="12"/>
  <c r="K95" i="12"/>
  <c r="M111" i="12"/>
  <c r="K111" i="12"/>
  <c r="M53" i="12"/>
  <c r="K53" i="12"/>
  <c r="M36" i="12"/>
  <c r="K36" i="12"/>
  <c r="M20" i="12"/>
  <c r="K20" i="12"/>
  <c r="M71" i="12"/>
  <c r="K71" i="12"/>
  <c r="O92" i="13"/>
  <c r="N92" i="13"/>
  <c r="O18" i="13"/>
  <c r="N18" i="13"/>
  <c r="O112" i="13"/>
  <c r="N112" i="13"/>
  <c r="O37" i="13"/>
  <c r="N37" i="13"/>
  <c r="O53" i="13"/>
  <c r="N53" i="13"/>
  <c r="O102" i="13"/>
  <c r="N102" i="13"/>
  <c r="O122" i="13"/>
  <c r="N122" i="13"/>
  <c r="O41" i="13"/>
  <c r="N41" i="13"/>
  <c r="N73" i="13"/>
  <c r="O73" i="13"/>
  <c r="O35" i="13"/>
  <c r="N35" i="13"/>
  <c r="O63" i="13"/>
  <c r="N63" i="13"/>
  <c r="O90" i="13"/>
  <c r="N90" i="13"/>
  <c r="O100" i="13"/>
  <c r="N100" i="13"/>
  <c r="O33" i="13"/>
  <c r="N33" i="13"/>
  <c r="O45" i="13"/>
  <c r="N45" i="13"/>
  <c r="O19" i="13"/>
  <c r="N19" i="13"/>
  <c r="O82" i="13"/>
  <c r="N82" i="13"/>
  <c r="O29" i="13"/>
  <c r="N29" i="13"/>
  <c r="O22" i="13"/>
  <c r="N22" i="13"/>
  <c r="O57" i="13"/>
  <c r="N57" i="13"/>
  <c r="O91" i="13"/>
  <c r="N91" i="13"/>
  <c r="O83" i="13"/>
  <c r="N83" i="13"/>
  <c r="O111" i="13"/>
  <c r="N111" i="13"/>
  <c r="O58" i="13"/>
  <c r="N58" i="13"/>
  <c r="O40" i="13"/>
  <c r="N40" i="13"/>
  <c r="O109" i="13"/>
  <c r="N109" i="13"/>
  <c r="O32" i="13"/>
  <c r="N32" i="13"/>
  <c r="M58" i="11"/>
  <c r="K58" i="11"/>
  <c r="M90" i="11"/>
  <c r="K90" i="11"/>
  <c r="M122" i="11"/>
  <c r="K122" i="11"/>
  <c r="M45" i="11"/>
  <c r="K45" i="11"/>
  <c r="M95" i="11"/>
  <c r="K95" i="11"/>
  <c r="M20" i="11"/>
  <c r="K20" i="11"/>
  <c r="M56" i="11"/>
  <c r="K56" i="11"/>
  <c r="M88" i="11"/>
  <c r="K88" i="11"/>
  <c r="M25" i="11"/>
  <c r="K25" i="11"/>
  <c r="M61" i="11"/>
  <c r="K61" i="11"/>
  <c r="M93" i="11"/>
  <c r="K93" i="11"/>
  <c r="M72" i="12"/>
  <c r="K72" i="12"/>
  <c r="M96" i="12"/>
  <c r="K96" i="12"/>
  <c r="M49" i="12"/>
  <c r="K49" i="12"/>
  <c r="K19" i="12"/>
  <c r="M19" i="12"/>
  <c r="M93" i="12"/>
  <c r="K93" i="12"/>
  <c r="M61" i="12"/>
  <c r="K61" i="12"/>
  <c r="M94" i="12"/>
  <c r="K94" i="12"/>
  <c r="K57" i="12"/>
  <c r="M57" i="12"/>
  <c r="M21" i="12"/>
  <c r="K21" i="12"/>
  <c r="M87" i="12"/>
  <c r="K87" i="12"/>
  <c r="M119" i="12"/>
  <c r="K119" i="12"/>
  <c r="M28" i="12"/>
  <c r="K28" i="12"/>
  <c r="M67" i="12"/>
  <c r="K67" i="12"/>
  <c r="O70" i="13"/>
  <c r="N70" i="13"/>
  <c r="O86" i="13"/>
  <c r="N86" i="13"/>
  <c r="M41" i="11"/>
  <c r="K41" i="11"/>
  <c r="M94" i="11"/>
  <c r="K94" i="11"/>
  <c r="M47" i="11"/>
  <c r="K47" i="11"/>
  <c r="M31" i="11"/>
  <c r="K31" i="11"/>
  <c r="M83" i="11"/>
  <c r="K83" i="11"/>
  <c r="M115" i="11"/>
  <c r="K115" i="11"/>
  <c r="M60" i="11"/>
  <c r="K60" i="11"/>
  <c r="M92" i="11"/>
  <c r="K92" i="11"/>
  <c r="M39" i="11"/>
  <c r="K39" i="11"/>
  <c r="M40" i="11"/>
  <c r="K40" i="11"/>
  <c r="M97" i="11"/>
  <c r="K97" i="11"/>
  <c r="K56" i="12"/>
  <c r="M56" i="12"/>
  <c r="K84" i="12"/>
  <c r="M84" i="12"/>
  <c r="K116" i="12"/>
  <c r="M116" i="12"/>
  <c r="M59" i="12"/>
  <c r="K59" i="12"/>
  <c r="M97" i="12"/>
  <c r="K97" i="12"/>
  <c r="M34" i="12"/>
  <c r="K34" i="12"/>
  <c r="K114" i="12"/>
  <c r="M114" i="12"/>
  <c r="M33" i="12"/>
  <c r="K33" i="12"/>
  <c r="K52" i="12"/>
  <c r="M52" i="12"/>
  <c r="M107" i="12"/>
  <c r="K107" i="12"/>
  <c r="M46" i="12"/>
  <c r="K46" i="12"/>
  <c r="M73" i="12"/>
  <c r="K73" i="12"/>
  <c r="O95" i="13"/>
  <c r="N95" i="13"/>
  <c r="O114" i="13"/>
  <c r="N114" i="13"/>
  <c r="O116" i="13"/>
  <c r="N116" i="13"/>
  <c r="O85" i="13"/>
  <c r="N85" i="13"/>
  <c r="O78" i="13"/>
  <c r="N78" i="13"/>
  <c r="O108" i="13"/>
  <c r="N108" i="13"/>
  <c r="M18" i="11"/>
  <c r="K18" i="11"/>
  <c r="M34" i="11"/>
  <c r="K34" i="11"/>
  <c r="M54" i="11"/>
  <c r="K54" i="11"/>
  <c r="M70" i="11"/>
  <c r="K70" i="11"/>
  <c r="M86" i="11"/>
  <c r="K86" i="11"/>
  <c r="M102" i="11"/>
  <c r="K102" i="11"/>
  <c r="M118" i="11"/>
  <c r="K118" i="11"/>
  <c r="M23" i="11"/>
  <c r="K23" i="11"/>
  <c r="M42" i="11"/>
  <c r="K42" i="11"/>
  <c r="M59" i="11"/>
  <c r="K59" i="11"/>
  <c r="M75" i="11"/>
  <c r="K75" i="11"/>
  <c r="M91" i="11"/>
  <c r="K91" i="11"/>
  <c r="M107" i="11"/>
  <c r="K107" i="11"/>
  <c r="M51" i="11"/>
  <c r="K51" i="11"/>
  <c r="M32" i="11"/>
  <c r="K32" i="11"/>
  <c r="M52" i="11"/>
  <c r="K52" i="11"/>
  <c r="M68" i="11"/>
  <c r="K68" i="11"/>
  <c r="M84" i="11"/>
  <c r="K84" i="11"/>
  <c r="M100" i="11"/>
  <c r="K100" i="11"/>
  <c r="M116" i="11"/>
  <c r="K116" i="11"/>
  <c r="M21" i="11"/>
  <c r="K21" i="11"/>
  <c r="M37" i="11"/>
  <c r="K37" i="11"/>
  <c r="M57" i="11"/>
  <c r="K57" i="11"/>
  <c r="M73" i="11"/>
  <c r="K73" i="11"/>
  <c r="M89" i="11"/>
  <c r="K89" i="11"/>
  <c r="M105" i="11"/>
  <c r="K105" i="11"/>
  <c r="M121" i="11"/>
  <c r="K121" i="11"/>
  <c r="K82" i="12"/>
  <c r="M82" i="12"/>
  <c r="M48" i="12"/>
  <c r="K48" i="12"/>
  <c r="M92" i="12"/>
  <c r="K92" i="12"/>
  <c r="M108" i="12"/>
  <c r="K108" i="12"/>
  <c r="K65" i="12"/>
  <c r="M65" i="12"/>
  <c r="K42" i="12"/>
  <c r="M42" i="12"/>
  <c r="M23" i="12"/>
  <c r="K23" i="12"/>
  <c r="M60" i="12"/>
  <c r="K60" i="12"/>
  <c r="M89" i="12"/>
  <c r="K89" i="12"/>
  <c r="M105" i="12"/>
  <c r="K105" i="12"/>
  <c r="M121" i="12"/>
  <c r="K121" i="12"/>
  <c r="M54" i="12"/>
  <c r="K54" i="12"/>
  <c r="K26" i="12"/>
  <c r="M26" i="12"/>
  <c r="K90" i="12"/>
  <c r="M90" i="12"/>
  <c r="K106" i="12"/>
  <c r="M106" i="12"/>
  <c r="K122" i="12"/>
  <c r="M122" i="12"/>
  <c r="M50" i="12"/>
  <c r="K50" i="12"/>
  <c r="M25" i="12"/>
  <c r="K25" i="12"/>
  <c r="M83" i="12"/>
  <c r="K83" i="12"/>
  <c r="K99" i="12"/>
  <c r="M99" i="12"/>
  <c r="M115" i="12"/>
  <c r="K115" i="12"/>
  <c r="K77" i="12"/>
  <c r="M77" i="12"/>
  <c r="M32" i="12"/>
  <c r="K32" i="12"/>
  <c r="M63" i="12"/>
  <c r="K63" i="12"/>
  <c r="M51" i="12"/>
  <c r="K51" i="12"/>
  <c r="O25" i="13"/>
  <c r="N25" i="13"/>
  <c r="N97" i="13"/>
  <c r="O97" i="13"/>
  <c r="O75" i="13"/>
  <c r="N75" i="13"/>
  <c r="O52" i="13"/>
  <c r="N52" i="13"/>
  <c r="O64" i="13"/>
  <c r="N64" i="13"/>
  <c r="O31" i="13"/>
  <c r="N31" i="13"/>
  <c r="O69" i="13"/>
  <c r="N69" i="13"/>
  <c r="O30" i="13"/>
  <c r="N30" i="13"/>
  <c r="O113" i="13"/>
  <c r="N113" i="13"/>
  <c r="O110" i="13"/>
  <c r="N110" i="13"/>
  <c r="O36" i="13"/>
  <c r="N36" i="13"/>
  <c r="O93" i="13"/>
  <c r="N93" i="13"/>
  <c r="O105" i="13"/>
  <c r="N105" i="13"/>
  <c r="O74" i="13"/>
  <c r="N74" i="13"/>
  <c r="O81" i="13"/>
  <c r="N81" i="13"/>
  <c r="N62" i="13"/>
  <c r="O62" i="13"/>
  <c r="O79" i="13"/>
  <c r="N79" i="13"/>
  <c r="O106" i="13"/>
  <c r="N106" i="13"/>
  <c r="O38" i="13"/>
  <c r="N38" i="13"/>
  <c r="O89" i="13"/>
  <c r="N89" i="13"/>
  <c r="O23" i="13"/>
  <c r="N23" i="13"/>
  <c r="O24" i="13"/>
  <c r="N24" i="13"/>
  <c r="O104" i="13"/>
  <c r="N104" i="13"/>
  <c r="O46" i="13"/>
  <c r="N46" i="13"/>
  <c r="O77" i="13"/>
  <c r="N77" i="13"/>
  <c r="O80" i="13"/>
  <c r="N80" i="13"/>
  <c r="O17" i="13"/>
  <c r="N17" i="13"/>
  <c r="M48" i="5" l="1"/>
  <c r="L48" i="5"/>
  <c r="H48" i="5"/>
</calcChain>
</file>

<file path=xl/sharedStrings.xml><?xml version="1.0" encoding="utf-8"?>
<sst xmlns="http://schemas.openxmlformats.org/spreadsheetml/2006/main" count="3025" uniqueCount="313">
  <si>
    <t>Matricuele</t>
  </si>
  <si>
    <t>Nom  poste nom &amp; prénom</t>
  </si>
  <si>
    <t>Sexe</t>
  </si>
  <si>
    <t>Lieu et date de naissance</t>
  </si>
  <si>
    <t>Encoder les cotes</t>
  </si>
  <si>
    <t>Ajout Manuelle</t>
  </si>
  <si>
    <t>Periodes &amp; Semestres</t>
  </si>
  <si>
    <t>Périodes</t>
  </si>
  <si>
    <t>Nom</t>
  </si>
  <si>
    <t>Fini?</t>
  </si>
  <si>
    <t>Listes des proclamations</t>
  </si>
  <si>
    <t>Proclamation du fin d'année</t>
  </si>
  <si>
    <t>Critère de réussite ne %</t>
  </si>
  <si>
    <t>Délibération</t>
  </si>
  <si>
    <t>Critère de délib ne %</t>
  </si>
  <si>
    <t>Type des cours</t>
  </si>
  <si>
    <t>Augmenter</t>
  </si>
  <si>
    <t>Encoder les cotes deuxième session</t>
  </si>
  <si>
    <t>Fiches divers</t>
  </si>
  <si>
    <t>Année scolaire &amp; Archivage</t>
  </si>
  <si>
    <t>Matricule</t>
  </si>
  <si>
    <t>Nom Elève</t>
  </si>
  <si>
    <t>Cours</t>
  </si>
  <si>
    <t>Periode</t>
  </si>
  <si>
    <t>Cotes</t>
  </si>
  <si>
    <t>2025-2026</t>
  </si>
  <si>
    <t>Désignation</t>
  </si>
  <si>
    <t>Option?</t>
  </si>
  <si>
    <t>Ponde</t>
  </si>
  <si>
    <t>N°</t>
  </si>
  <si>
    <t>P1</t>
  </si>
  <si>
    <t>P2</t>
  </si>
  <si>
    <t>EXAM1</t>
  </si>
  <si>
    <t>P3</t>
  </si>
  <si>
    <t>P4</t>
  </si>
  <si>
    <t>EXAM2</t>
  </si>
  <si>
    <t>Fiche de cotes</t>
  </si>
  <si>
    <t>Cours :</t>
  </si>
  <si>
    <t>Enseignant :</t>
  </si>
  <si>
    <t>Algèbre, Stat et Anal</t>
  </si>
  <si>
    <t>Chimie</t>
  </si>
  <si>
    <t>Religion</t>
  </si>
  <si>
    <t>Debut imatriculation</t>
  </si>
  <si>
    <t>Année</t>
  </si>
  <si>
    <t>Sufix</t>
  </si>
  <si>
    <t>25-26</t>
  </si>
  <si>
    <t>Période</t>
  </si>
  <si>
    <t>0001/25-26</t>
  </si>
  <si>
    <t>AMINA BIRINDWA</t>
  </si>
  <si>
    <t>0002/25-26</t>
  </si>
  <si>
    <t>ANDEMA BAHOGWERE</t>
  </si>
  <si>
    <t>0003/25-26</t>
  </si>
  <si>
    <t>ANSIMA BATUMULA</t>
  </si>
  <si>
    <t>0004/25-26</t>
  </si>
  <si>
    <t>ANSIMA NDUSHA</t>
  </si>
  <si>
    <t>0005/25-26</t>
  </si>
  <si>
    <t>ARESTIDE MATABARO</t>
  </si>
  <si>
    <t>0006/25-26</t>
  </si>
  <si>
    <t>ASHUZA BARHABAZI</t>
  </si>
  <si>
    <t>0007/25-26</t>
  </si>
  <si>
    <t>BAHATI NGANIZA</t>
  </si>
  <si>
    <t>0008/25-26</t>
  </si>
  <si>
    <t>BALYAHAMWABO BISIMWA</t>
  </si>
  <si>
    <t>0009/25-26</t>
  </si>
  <si>
    <t>BONANE BYADUNIYA</t>
  </si>
  <si>
    <t>0010/25-26</t>
  </si>
  <si>
    <t>CIKURU KUSINZA</t>
  </si>
  <si>
    <t>0011/25-26</t>
  </si>
  <si>
    <t>CUBAKA ZIHALIRHWA</t>
  </si>
  <si>
    <t>0012/25-26</t>
  </si>
  <si>
    <t>DIEUMERCI MUNGUAKONKWA</t>
  </si>
  <si>
    <t>0013/25-26</t>
  </si>
  <si>
    <t>ELIYA MATABISHI</t>
  </si>
  <si>
    <t>0014/25-26</t>
  </si>
  <si>
    <t>FAIDA BAGALWA</t>
  </si>
  <si>
    <t>0015/25-26</t>
  </si>
  <si>
    <t>FEDHA MURHULA</t>
  </si>
  <si>
    <t>0016/25-26</t>
  </si>
  <si>
    <t>JOSCAR CIZUNGU</t>
  </si>
  <si>
    <t>0017/25-26</t>
  </si>
  <si>
    <t>KULONDWA BADESIRE</t>
  </si>
  <si>
    <t>0018/25-26</t>
  </si>
  <si>
    <t>KULONDWA MUNGUIKO</t>
  </si>
  <si>
    <t>0019/25-26</t>
  </si>
  <si>
    <t>MAPENZI BASHIMBE</t>
  </si>
  <si>
    <t>0020/25-26</t>
  </si>
  <si>
    <t>MARAMUKE MWILA</t>
  </si>
  <si>
    <t>0021/25-26</t>
  </si>
  <si>
    <t>MARIA OMBENI</t>
  </si>
  <si>
    <t>0022/25-26</t>
  </si>
  <si>
    <t>MARIE JUSTINE HAMULI</t>
  </si>
  <si>
    <t>0023/25-26</t>
  </si>
  <si>
    <t>MARIE KOZIBWA</t>
  </si>
  <si>
    <t>0024/25-26</t>
  </si>
  <si>
    <t>MUGISHO BALUMEBALIBWA</t>
  </si>
  <si>
    <t>0025/25-26</t>
  </si>
  <si>
    <t>MULUMEODERHWA LWAHAMIRE</t>
  </si>
  <si>
    <t>0026/25-26</t>
  </si>
  <si>
    <t>MUNYERENKANA HAMULI</t>
  </si>
  <si>
    <t>0027/25-26</t>
  </si>
  <si>
    <t>MURULA KUBIHA</t>
  </si>
  <si>
    <t>0028/25-26</t>
  </si>
  <si>
    <t>MUSHAGALUSA IGWABI</t>
  </si>
  <si>
    <t>0029/25-26</t>
  </si>
  <si>
    <t>MWANGAZA BUHENDWA</t>
  </si>
  <si>
    <t>0030/25-26</t>
  </si>
  <si>
    <t>NABINTU KABEMBA</t>
  </si>
  <si>
    <t>0031/25-26</t>
  </si>
  <si>
    <t>NABINTU TEGANYI</t>
  </si>
  <si>
    <t>0032/25-26</t>
  </si>
  <si>
    <t>NAMBURO MUSAFIRI</t>
  </si>
  <si>
    <t>0033/25-26</t>
  </si>
  <si>
    <t>NEEMA MURULA</t>
  </si>
  <si>
    <t>0034/25-26</t>
  </si>
  <si>
    <t>NSHOBOLE ZALUKE</t>
  </si>
  <si>
    <t>0035/25-26</t>
  </si>
  <si>
    <t>OLINDE RHWABAHIZI</t>
  </si>
  <si>
    <t>0036/25-26</t>
  </si>
  <si>
    <t>PRICIL BUHENDWA</t>
  </si>
  <si>
    <t>0037/25-26</t>
  </si>
  <si>
    <t>SAMWELI MUGISHO</t>
  </si>
  <si>
    <t>0038/25-26</t>
  </si>
  <si>
    <t>SHAMANVU BANYWESIZE</t>
  </si>
  <si>
    <t>0039/25-26</t>
  </si>
  <si>
    <t>USHINDI LUGUMIRE</t>
  </si>
  <si>
    <t>0040/25-26</t>
  </si>
  <si>
    <t>USHINDI MIHIGO</t>
  </si>
  <si>
    <t>0041/25-26</t>
  </si>
  <si>
    <t>USHINDI MULUMEODRHWA</t>
  </si>
  <si>
    <t>0042/25-26</t>
  </si>
  <si>
    <t>VERITE KAPAKO</t>
  </si>
  <si>
    <t>0043/25-26</t>
  </si>
  <si>
    <t>WANI ZIHINDULA</t>
  </si>
  <si>
    <t>0044/25-26</t>
  </si>
  <si>
    <t>ZAWADI MUZUSA</t>
  </si>
  <si>
    <t>0045/25-26</t>
  </si>
  <si>
    <t>BERTINE SHAMAMBA</t>
  </si>
  <si>
    <t>0046/25-26</t>
  </si>
  <si>
    <t>NSIMIRE BISIMWA</t>
  </si>
  <si>
    <t>MERCI MUNGUAKONKWA</t>
  </si>
  <si>
    <t>Actif?</t>
  </si>
  <si>
    <t>Nom post-nom &amp; Prenom</t>
  </si>
  <si>
    <t>0000/25-26</t>
  </si>
  <si>
    <t>Nom post-nom &amp; prenom</t>
  </si>
  <si>
    <t>Abandon</t>
  </si>
  <si>
    <t>Action</t>
  </si>
  <si>
    <t>Etudié?</t>
  </si>
  <si>
    <t>0047/25-26</t>
  </si>
  <si>
    <t>KITOKO CIZUNGU</t>
  </si>
  <si>
    <t>F</t>
  </si>
  <si>
    <t>MUSIRU 20/01/1998</t>
  </si>
  <si>
    <t>Classe</t>
  </si>
  <si>
    <t>2ème HTS</t>
  </si>
  <si>
    <t>Sysrème de gèstion des cotes</t>
  </si>
  <si>
    <t>Classe :</t>
  </si>
  <si>
    <t>Annee Scolaire :</t>
  </si>
  <si>
    <t>TITULAIRE DE CLASSE: Prof. ZIGASHANE KAMBAZA Christian</t>
  </si>
  <si>
    <r>
      <t>Intitulés Cours--------------------------</t>
    </r>
    <r>
      <rPr>
        <b/>
        <sz val="11"/>
        <color theme="1"/>
        <rFont val="Calibri"/>
        <family val="2"/>
      </rPr>
      <t>&gt;</t>
    </r>
  </si>
  <si>
    <t>MAXIMA GEN.</t>
  </si>
  <si>
    <t>Pourcentage</t>
  </si>
  <si>
    <t>Place</t>
  </si>
  <si>
    <t>Nom, Postnom &amp; Prenom</t>
  </si>
  <si>
    <t>SEXE</t>
  </si>
  <si>
    <t>Lieu de Naissance</t>
  </si>
  <si>
    <t>Nombre Réussites</t>
  </si>
  <si>
    <t>Nombre Echecs</t>
  </si>
  <si>
    <t>Elèves n'ayant pas de cotes</t>
  </si>
  <si>
    <t>Total des élèves</t>
  </si>
  <si>
    <t>Poucentage Réussites par cours</t>
  </si>
  <si>
    <t>Pourcentage Echecs par cours</t>
  </si>
  <si>
    <t xml:space="preserve">Moyenne </t>
  </si>
  <si>
    <t>Pannau de statistique</t>
  </si>
  <si>
    <t>MATRICULE</t>
  </si>
  <si>
    <r>
      <t>Maxima         -----</t>
    </r>
    <r>
      <rPr>
        <b/>
        <sz val="11"/>
        <color theme="1"/>
        <rFont val="Calibri"/>
        <family val="2"/>
      </rPr>
      <t>&gt;</t>
    </r>
  </si>
  <si>
    <t>Ed. civique et morale</t>
  </si>
  <si>
    <t>Education à la Vie</t>
  </si>
  <si>
    <t xml:space="preserve">Géographie </t>
  </si>
  <si>
    <t xml:space="preserve">Histoire </t>
  </si>
  <si>
    <t>Hygiène allimentaire</t>
  </si>
  <si>
    <t>Informatique</t>
  </si>
  <si>
    <t>Institutions sociales natio/Intern</t>
  </si>
  <si>
    <t>Physiques</t>
  </si>
  <si>
    <t>Comptabilité</t>
  </si>
  <si>
    <t>Droit Pénal</t>
  </si>
  <si>
    <t>Phychologie Générale</t>
  </si>
  <si>
    <t xml:space="preserve">Sociologie Africaine </t>
  </si>
  <si>
    <t xml:space="preserve">Anglais </t>
  </si>
  <si>
    <t>Education populaire</t>
  </si>
  <si>
    <t>Mathématiques</t>
  </si>
  <si>
    <t xml:space="preserve">Principes d'éducation </t>
  </si>
  <si>
    <t xml:space="preserve">Français </t>
  </si>
  <si>
    <t>Pratique Professionnelle</t>
  </si>
  <si>
    <t>Non</t>
  </si>
  <si>
    <t>Observation</t>
  </si>
  <si>
    <t>J</t>
  </si>
  <si>
    <t>République Démocratique du Congo</t>
  </si>
  <si>
    <t>MINISTERE DE L'ENSEIGNEMENT PRIMAIRE SECONDAIRE</t>
  </si>
  <si>
    <t>ET TECHNIQUE</t>
  </si>
  <si>
    <t xml:space="preserve">    N°ID. </t>
  </si>
  <si>
    <t xml:space="preserve">    PROVINCE</t>
  </si>
  <si>
    <t xml:space="preserve">    VILLE</t>
  </si>
  <si>
    <t xml:space="preserve">    ELEVE     :       </t>
  </si>
  <si>
    <t>SEXE :</t>
  </si>
  <si>
    <t xml:space="preserve">    TERRITOIRE/COMMUNE(1)  </t>
  </si>
  <si>
    <t xml:space="preserve">    NE(E) A   :   </t>
  </si>
  <si>
    <t xml:space="preserve">    ECOLE </t>
  </si>
  <si>
    <t xml:space="preserve">    CLASSE  :    </t>
  </si>
  <si>
    <t>2èmeHTS</t>
  </si>
  <si>
    <t xml:space="preserve">    CODE                                         </t>
  </si>
  <si>
    <t xml:space="preserve">    N°PERM  :</t>
  </si>
  <si>
    <t>BULLETIN DE LA 2ème HUMANITE SOCIALE          ANNEE SCOLAIRE 20…./20….</t>
  </si>
  <si>
    <t xml:space="preserve">BRANCHES </t>
  </si>
  <si>
    <t xml:space="preserve">PREMIER SEMESTRE </t>
  </si>
  <si>
    <t>DEUXIEME SEMESTRE</t>
  </si>
  <si>
    <t>TOT
GEN</t>
  </si>
  <si>
    <t>EXAMEN DE REPECHAGE</t>
  </si>
  <si>
    <t>TRAV. JOUR</t>
  </si>
  <si>
    <t>EXAM</t>
  </si>
  <si>
    <t>TOT</t>
  </si>
  <si>
    <t>%</t>
  </si>
  <si>
    <t>Signature du
Professeur</t>
  </si>
  <si>
    <t xml:space="preserve"> </t>
  </si>
  <si>
    <t>1èreP</t>
  </si>
  <si>
    <t>2èmeP</t>
  </si>
  <si>
    <t>3èmeP</t>
  </si>
  <si>
    <t>4èmeP</t>
  </si>
  <si>
    <t>MAXIMA</t>
  </si>
  <si>
    <t>Education physique</t>
  </si>
  <si>
    <t>Inst sociales natio/Intern</t>
  </si>
  <si>
    <t>Psychologie Générale</t>
  </si>
  <si>
    <t>MAXIMA GENERAUX</t>
  </si>
  <si>
    <t>TOTAUX</t>
  </si>
  <si>
    <t xml:space="preserve">   PASSE  (1)</t>
  </si>
  <si>
    <t xml:space="preserve">   DOUBLE (1)</t>
  </si>
  <si>
    <t>PLACE/NBRE D'ELEVES</t>
  </si>
  <si>
    <t xml:space="preserve">  LE...…/……./20….…</t>
  </si>
  <si>
    <t>Application</t>
  </si>
  <si>
    <t xml:space="preserve">    Le chef d'etablissement</t>
  </si>
  <si>
    <t>Conduite</t>
  </si>
  <si>
    <t>Sceau de l'école</t>
  </si>
  <si>
    <t>Signature du responsable</t>
  </si>
  <si>
    <t xml:space="preserve">  L'élève ne pourra passer dans la classe supérieure s'il n'a subi avec succès un examen de repéchage en…………………..…….</t>
  </si>
  <si>
    <t xml:space="preserve">  …………………………………………………………………………………………..…………………………,………………………….</t>
  </si>
  <si>
    <t xml:space="preserve">    L'élève passe dans la Classe Supérieure (1)</t>
  </si>
  <si>
    <t xml:space="preserve">    L'élève double la classe (1)</t>
  </si>
  <si>
    <t xml:space="preserve">    L'élève a échoué et est à réorienter vers……………(1)</t>
  </si>
  <si>
    <t>Signature de l'élève</t>
  </si>
  <si>
    <t>LE CHEF D'ETABLISSEMENT</t>
  </si>
  <si>
    <t>(Nom et singature)</t>
  </si>
  <si>
    <t xml:space="preserve">  (1) Biffer la mention inutile</t>
  </si>
  <si>
    <t xml:space="preserve">  Note importante : le bulletin est sans valeur s'il est raturé ou surchargé</t>
  </si>
  <si>
    <t>IGE/PS/007</t>
  </si>
  <si>
    <t>Ponderation ----------------------------------------------------------------------&gt;</t>
  </si>
  <si>
    <t>0048/25-26</t>
  </si>
  <si>
    <t>MUNGUAYAGURHWE NKUNDAMWAMI EMMANUEL</t>
  </si>
  <si>
    <t>M</t>
  </si>
  <si>
    <t>BUKAVU LE 03/09/1998</t>
  </si>
  <si>
    <t>SEM1</t>
  </si>
  <si>
    <t>SEM2</t>
  </si>
  <si>
    <t>A exam?</t>
  </si>
  <si>
    <t>Actif</t>
  </si>
  <si>
    <t>Remplacer</t>
  </si>
  <si>
    <t>POINTS OBTENUS</t>
  </si>
  <si>
    <t>NOMBRE D'ECHECS</t>
  </si>
  <si>
    <t>DISCIPLINES D'CHECS</t>
  </si>
  <si>
    <t>APPLICATION</t>
  </si>
  <si>
    <t>PLACE</t>
  </si>
  <si>
    <t xml:space="preserve">ACTION RAPIDE SUR LA LISTE DE PROCLAMATION </t>
  </si>
  <si>
    <t>Fichier</t>
  </si>
  <si>
    <t>Feuille</t>
  </si>
  <si>
    <t>Lignes importées</t>
  </si>
  <si>
    <t>Date</t>
  </si>
  <si>
    <t>Heure</t>
  </si>
  <si>
    <t>Chemin complet</t>
  </si>
  <si>
    <t>Fiche_Comptabilité_2ème HTS_2025-2026_20251118_143651.xlsx</t>
  </si>
  <si>
    <t>C:\Users\IMANI LWABO Salomon\Desktop\FICHES_P1\Fiche_Comptabilité_2ème HTS_2025-2026_20251118_143651.xlsx</t>
  </si>
  <si>
    <t>Fiche_Droit Pénal_2ème HTS_2025-2026_20251118_143715.xlsx</t>
  </si>
  <si>
    <t>C:\Users\IMANI LWABO Salomon\Desktop\FICHES_P1\Fiche_Droit Pénal_2ème HTS_2025-2026_20251118_143715.xlsx</t>
  </si>
  <si>
    <t>Fiche_Informatique_2ème HTS_2025-2026_20251118_142712.xlsx</t>
  </si>
  <si>
    <t>C:\Users\IMANI LWABO Salomon\Desktop\FICHES_P1\Fiche_Informatique_2ème HTS_2025-2026_20251118_142712.xlsx</t>
  </si>
  <si>
    <t>Fiche_Physiques_2ème HTS_2025-2026_20251118_143539.xlsx</t>
  </si>
  <si>
    <t>C:\Users\IMANI LWABO Salomon\Desktop\FICHES_P1\Fiche_Physiques_2ème HTS_2025-2026_20251118_143539.xlsx</t>
  </si>
  <si>
    <t>Elèves actifs</t>
  </si>
  <si>
    <t>F&amp;G</t>
  </si>
  <si>
    <t>Elèves Abandons</t>
  </si>
  <si>
    <t>Elèves Inscrits</t>
  </si>
  <si>
    <t>Ces statistique sont correctes que si tous les élèves remplissent les informations essentielles notament le sexe, tous les calculs utilise essentiellement cette colonne</t>
  </si>
  <si>
    <t>STATISTIQUES</t>
  </si>
  <si>
    <t>EXPORTATION PDF</t>
  </si>
  <si>
    <t>EXPORTATION EXCEL</t>
  </si>
  <si>
    <t>OPTIONS D'IMPRESSIONS</t>
  </si>
  <si>
    <t>REUSSITES</t>
  </si>
  <si>
    <t>F&amp;M</t>
  </si>
  <si>
    <t>ECHECS</t>
  </si>
  <si>
    <t>NON-CLASSES</t>
  </si>
  <si>
    <t>ABANDONS</t>
  </si>
  <si>
    <t>STATISTIQUE EN %</t>
  </si>
  <si>
    <t>STATISTIQUE EN NOMBRE</t>
  </si>
  <si>
    <t>ECOLE :</t>
  </si>
  <si>
    <t>CLASSE :</t>
  </si>
  <si>
    <t>TUTULAIRE :</t>
  </si>
  <si>
    <t>DESISION</t>
  </si>
  <si>
    <t>INSCRITS</t>
  </si>
  <si>
    <t xml:space="preserve">Ed. civique et morale, Chimie, Géographie , Histoire , Hygiène allimentaire, Informatique, Institutions sociales natio/Intern, Physiques, Comptabilité, Droit Pénal, Phychologie Générale, Sociologie Africaine , Anglais , Education populaire, Mathématiques, Principes d'éducation , Français , </t>
  </si>
  <si>
    <t>Reussi</t>
  </si>
  <si>
    <t>Echoue</t>
  </si>
  <si>
    <t>LISTE DE PROCLAMATION DU PREMIER SEMESTRE</t>
  </si>
  <si>
    <t>PALMARES DES RESULTAT DE LA PREMIERE PERIODE</t>
  </si>
  <si>
    <t xml:space="preserve">Comptabilité, Droit Pénal, Phychologie Générale, Sociologie Africaine , Anglais , Education populaire, Mathématiques, Principes d'éducation , Français , </t>
  </si>
  <si>
    <t xml:space="preserve">Anglais , Education populaire, Mathématiques, Principes d'éducation , Français , </t>
  </si>
  <si>
    <t xml:space="preserve">Chimie, Géographie , Histoire , Hygiène allimentaire, Informatique, Institutions sociales natio/Intern, Physiques, Comptabilité, Droit Pénal, Phychologie Générale, Sociologie Africaine , Anglais , Education populaire, Mathématiques, Principes d'éducation , Français , </t>
  </si>
  <si>
    <t xml:space="preserve">Ed. civique et morale, </t>
  </si>
  <si>
    <t xml:space="preserve">Français 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</si>
</sst>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#,##0.00_);[Red]\(&quot;€&quot;#,##0.00\)"/>
    <numFmt numFmtId="165" formatCode="0.0"/>
  </numFmts>
  <fonts count="4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4"/>
      <color theme="1"/>
      <name val="Arial"/>
      <family val="2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Arial"/>
      <family val="2"/>
    </font>
    <font>
      <b/>
      <i/>
      <sz val="10"/>
      <color theme="1"/>
      <name val="Arial"/>
      <family val="2"/>
    </font>
    <font>
      <b/>
      <i/>
      <sz val="36"/>
      <color theme="1"/>
      <name val="Calibri"/>
      <family val="2"/>
      <scheme val="minor"/>
    </font>
    <font>
      <b/>
      <i/>
      <sz val="7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1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000000"/>
      <name val="Segoe UI"/>
      <family val="2"/>
    </font>
    <font>
      <b/>
      <i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theme="9"/>
      <name val="Arial"/>
      <family val="2"/>
    </font>
    <font>
      <b/>
      <sz val="11"/>
      <color theme="4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8"/>
      <color indexed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lightUp"/>
    </fill>
    <fill>
      <patternFill patternType="lightDown"/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1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3" xfId="0" applyFill="1" applyBorder="1"/>
    <xf numFmtId="0" fontId="0" fillId="2" borderId="4" xfId="0" applyFill="1" applyBorder="1"/>
    <xf numFmtId="0" fontId="0" fillId="0" borderId="1" xfId="0" applyBorder="1"/>
    <xf numFmtId="0" fontId="0" fillId="0" borderId="17" xfId="0" applyBorder="1"/>
    <xf numFmtId="0" fontId="0" fillId="0" borderId="18" xfId="0" applyBorder="1"/>
    <xf numFmtId="0" fontId="0" fillId="0" borderId="24" xfId="0" applyBorder="1"/>
    <xf numFmtId="0" fontId="0" fillId="0" borderId="25" xfId="0" applyBorder="1"/>
    <xf numFmtId="0" fontId="0" fillId="0" borderId="29" xfId="0" applyBorder="1"/>
    <xf numFmtId="0" fontId="0" fillId="0" borderId="30" xfId="0" applyBorder="1"/>
    <xf numFmtId="0" fontId="0" fillId="3" borderId="33" xfId="0" applyFill="1" applyBorder="1"/>
    <xf numFmtId="0" fontId="0" fillId="3" borderId="8" xfId="0" applyFill="1" applyBorder="1"/>
    <xf numFmtId="0" fontId="0" fillId="3" borderId="34" xfId="0" applyFill="1" applyBorder="1"/>
    <xf numFmtId="0" fontId="0" fillId="3" borderId="9" xfId="0" applyFill="1" applyBorder="1"/>
    <xf numFmtId="0" fontId="0" fillId="0" borderId="32" xfId="0" applyBorder="1"/>
    <xf numFmtId="0" fontId="0" fillId="0" borderId="31" xfId="0" applyBorder="1"/>
    <xf numFmtId="0" fontId="0" fillId="2" borderId="12" xfId="0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2" borderId="25" xfId="0" applyFill="1" applyBorder="1"/>
    <xf numFmtId="0" fontId="0" fillId="2" borderId="31" xfId="0" applyFill="1" applyBorder="1"/>
    <xf numFmtId="0" fontId="0" fillId="0" borderId="0" xfId="0" applyAlignment="1">
      <alignment horizontal="center"/>
    </xf>
    <xf numFmtId="0" fontId="0" fillId="4" borderId="1" xfId="0" applyFill="1" applyBorder="1"/>
    <xf numFmtId="0" fontId="0" fillId="4" borderId="10" xfId="0" applyFill="1" applyBorder="1"/>
    <xf numFmtId="0" fontId="0" fillId="4" borderId="38" xfId="0" applyFill="1" applyBorder="1"/>
    <xf numFmtId="0" fontId="0" fillId="4" borderId="4" xfId="0" applyFill="1" applyBorder="1"/>
    <xf numFmtId="0" fontId="0" fillId="2" borderId="38" xfId="0" applyFill="1" applyBorder="1"/>
    <xf numFmtId="0" fontId="0" fillId="0" borderId="42" xfId="0" applyBorder="1"/>
    <xf numFmtId="0" fontId="4" fillId="5" borderId="8" xfId="0" applyFont="1" applyFill="1" applyBorder="1"/>
    <xf numFmtId="0" fontId="4" fillId="0" borderId="7" xfId="0" applyFont="1" applyBorder="1"/>
    <xf numFmtId="0" fontId="4" fillId="0" borderId="8" xfId="0" applyFont="1" applyBorder="1"/>
    <xf numFmtId="0" fontId="0" fillId="2" borderId="19" xfId="0" applyFill="1" applyBorder="1"/>
    <xf numFmtId="0" fontId="0" fillId="2" borderId="20" xfId="0" applyFill="1" applyBorder="1"/>
    <xf numFmtId="0" fontId="0" fillId="6" borderId="1" xfId="0" applyFill="1" applyBorder="1"/>
    <xf numFmtId="0" fontId="0" fillId="0" borderId="44" xfId="0" applyBorder="1"/>
    <xf numFmtId="0" fontId="0" fillId="0" borderId="33" xfId="0" applyBorder="1"/>
    <xf numFmtId="0" fontId="0" fillId="0" borderId="38" xfId="0" applyBorder="1"/>
    <xf numFmtId="0" fontId="0" fillId="3" borderId="19" xfId="0" applyFill="1" applyBorder="1"/>
    <xf numFmtId="0" fontId="0" fillId="3" borderId="20" xfId="0" applyFill="1" applyBorder="1"/>
    <xf numFmtId="0" fontId="3" fillId="0" borderId="20" xfId="0" applyFont="1" applyBorder="1"/>
    <xf numFmtId="0" fontId="3" fillId="0" borderId="10" xfId="0" applyFont="1" applyBorder="1"/>
    <xf numFmtId="0" fontId="3" fillId="4" borderId="42" xfId="0" applyFont="1" applyFill="1" applyBorder="1"/>
    <xf numFmtId="0" fontId="3" fillId="4" borderId="16" xfId="0" applyFont="1" applyFill="1" applyBorder="1"/>
    <xf numFmtId="0" fontId="3" fillId="2" borderId="1" xfId="0" applyFont="1" applyFill="1" applyBorder="1"/>
    <xf numFmtId="0" fontId="3" fillId="2" borderId="10" xfId="0" applyFont="1" applyFill="1" applyBorder="1"/>
    <xf numFmtId="0" fontId="3" fillId="2" borderId="2" xfId="0" applyFont="1" applyFill="1" applyBorder="1"/>
    <xf numFmtId="0" fontId="3" fillId="2" borderId="24" xfId="0" applyFont="1" applyFill="1" applyBorder="1"/>
    <xf numFmtId="0" fontId="4" fillId="0" borderId="7" xfId="0" applyFont="1" applyBorder="1" applyAlignment="1">
      <alignment horizontal="right"/>
    </xf>
    <xf numFmtId="0" fontId="4" fillId="0" borderId="8" xfId="0" applyFont="1" applyBorder="1" applyAlignment="1">
      <alignment horizontal="right"/>
    </xf>
    <xf numFmtId="0" fontId="4" fillId="0" borderId="9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2" xfId="0" applyFont="1" applyBorder="1"/>
    <xf numFmtId="0" fontId="4" fillId="0" borderId="13" xfId="0" applyFont="1" applyBorder="1"/>
    <xf numFmtId="0" fontId="3" fillId="2" borderId="9" xfId="0" applyFont="1" applyFill="1" applyBorder="1"/>
    <xf numFmtId="0" fontId="4" fillId="0" borderId="30" xfId="0" applyFont="1" applyBorder="1"/>
    <xf numFmtId="0" fontId="4" fillId="0" borderId="35" xfId="0" applyFont="1" applyBorder="1"/>
    <xf numFmtId="0" fontId="4" fillId="0" borderId="24" xfId="0" applyFont="1" applyBorder="1"/>
    <xf numFmtId="0" fontId="0" fillId="0" borderId="43" xfId="0" applyBorder="1"/>
    <xf numFmtId="0" fontId="3" fillId="0" borderId="45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0" borderId="0" xfId="0" applyFont="1"/>
    <xf numFmtId="0" fontId="5" fillId="0" borderId="0" xfId="0" applyFont="1"/>
    <xf numFmtId="0" fontId="5" fillId="3" borderId="19" xfId="0" applyFont="1" applyFill="1" applyBorder="1"/>
    <xf numFmtId="0" fontId="5" fillId="3" borderId="20" xfId="0" applyFont="1" applyFill="1" applyBorder="1"/>
    <xf numFmtId="0" fontId="5" fillId="3" borderId="10" xfId="0" applyFont="1" applyFill="1" applyBorder="1"/>
    <xf numFmtId="0" fontId="4" fillId="0" borderId="0" xfId="0" applyFont="1"/>
    <xf numFmtId="0" fontId="7" fillId="0" borderId="0" xfId="0" applyFont="1" applyAlignment="1">
      <alignment horizontal="right"/>
    </xf>
    <xf numFmtId="0" fontId="5" fillId="0" borderId="0" xfId="0" applyFont="1" applyAlignment="1">
      <alignment horizontal="center" wrapText="1"/>
    </xf>
    <xf numFmtId="0" fontId="0" fillId="7" borderId="0" xfId="0" applyFill="1"/>
    <xf numFmtId="0" fontId="3" fillId="0" borderId="0" xfId="0" applyFont="1"/>
    <xf numFmtId="0" fontId="0" fillId="8" borderId="46" xfId="0" applyFill="1" applyBorder="1"/>
    <xf numFmtId="0" fontId="3" fillId="0" borderId="2" xfId="0" applyFont="1" applyBorder="1" applyAlignment="1">
      <alignment horizontal="right"/>
    </xf>
    <xf numFmtId="0" fontId="0" fillId="8" borderId="47" xfId="0" applyFill="1" applyBorder="1"/>
    <xf numFmtId="0" fontId="0" fillId="8" borderId="3" xfId="0" applyFill="1" applyBorder="1"/>
    <xf numFmtId="0" fontId="0" fillId="8" borderId="4" xfId="0" applyFill="1" applyBorder="1"/>
    <xf numFmtId="0" fontId="3" fillId="0" borderId="5" xfId="0" applyFont="1" applyBorder="1" applyAlignment="1">
      <alignment horizontal="right"/>
    </xf>
    <xf numFmtId="0" fontId="0" fillId="8" borderId="6" xfId="0" applyFill="1" applyBorder="1"/>
    <xf numFmtId="0" fontId="3" fillId="0" borderId="14" xfId="0" applyFont="1" applyBorder="1" applyAlignment="1">
      <alignment horizontal="right"/>
    </xf>
    <xf numFmtId="0" fontId="0" fillId="8" borderId="49" xfId="0" applyFill="1" applyBorder="1"/>
    <xf numFmtId="0" fontId="0" fillId="8" borderId="15" xfId="0" applyFill="1" applyBorder="1"/>
    <xf numFmtId="0" fontId="0" fillId="8" borderId="16" xfId="0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3" fillId="0" borderId="24" xfId="0" applyFont="1" applyBorder="1"/>
    <xf numFmtId="0" fontId="3" fillId="0" borderId="29" xfId="0" applyFont="1" applyBorder="1"/>
    <xf numFmtId="0" fontId="5" fillId="0" borderId="0" xfId="0" applyFont="1" applyAlignment="1">
      <alignment wrapText="1"/>
    </xf>
    <xf numFmtId="0" fontId="5" fillId="3" borderId="20" xfId="0" applyFont="1" applyFill="1" applyBorder="1" applyAlignment="1">
      <alignment wrapText="1"/>
    </xf>
    <xf numFmtId="0" fontId="5" fillId="3" borderId="10" xfId="0" applyFont="1" applyFill="1" applyBorder="1" applyAlignment="1">
      <alignment wrapText="1"/>
    </xf>
    <xf numFmtId="0" fontId="4" fillId="0" borderId="28" xfId="0" applyFont="1" applyBorder="1" applyAlignment="1">
      <alignment horizontal="right"/>
    </xf>
    <xf numFmtId="0" fontId="0" fillId="8" borderId="0" xfId="0" applyFill="1"/>
    <xf numFmtId="0" fontId="0" fillId="7" borderId="0" xfId="0" applyFill="1" applyAlignment="1">
      <alignment horizontal="center" vertical="center"/>
    </xf>
    <xf numFmtId="0" fontId="0" fillId="10" borderId="43" xfId="0" applyFill="1" applyBorder="1" applyAlignment="1">
      <alignment horizontal="center" vertical="center"/>
    </xf>
    <xf numFmtId="0" fontId="3" fillId="0" borderId="38" xfId="0" applyFont="1" applyBorder="1" applyAlignment="1">
      <alignment horizontal="center" textRotation="90"/>
    </xf>
    <xf numFmtId="0" fontId="3" fillId="0" borderId="2" xfId="0" applyFont="1" applyBorder="1" applyAlignment="1">
      <alignment horizontal="center" textRotation="90"/>
    </xf>
    <xf numFmtId="0" fontId="3" fillId="0" borderId="3" xfId="0" applyFont="1" applyBorder="1" applyAlignment="1">
      <alignment horizontal="center" textRotation="90"/>
    </xf>
    <xf numFmtId="0" fontId="0" fillId="10" borderId="5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9" xfId="0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4" fillId="0" borderId="33" xfId="0" applyFont="1" applyBorder="1"/>
    <xf numFmtId="0" fontId="3" fillId="0" borderId="38" xfId="0" applyFont="1" applyBorder="1"/>
    <xf numFmtId="0" fontId="4" fillId="0" borderId="33" xfId="0" applyFont="1" applyBorder="1" applyAlignment="1">
      <alignment horizontal="right"/>
    </xf>
    <xf numFmtId="0" fontId="4" fillId="0" borderId="34" xfId="0" applyFont="1" applyBorder="1"/>
    <xf numFmtId="0" fontId="4" fillId="0" borderId="34" xfId="0" applyFont="1" applyBorder="1" applyAlignment="1">
      <alignment horizontal="left"/>
    </xf>
    <xf numFmtId="0" fontId="4" fillId="0" borderId="34" xfId="0" applyFont="1" applyBorder="1" applyAlignment="1">
      <alignment horizontal="right"/>
    </xf>
    <xf numFmtId="0" fontId="0" fillId="10" borderId="51" xfId="0" applyFill="1" applyBorder="1" applyAlignment="1">
      <alignment horizontal="center" vertical="center"/>
    </xf>
    <xf numFmtId="0" fontId="3" fillId="4" borderId="1" xfId="0" applyFont="1" applyFill="1" applyBorder="1"/>
    <xf numFmtId="0" fontId="3" fillId="4" borderId="10" xfId="0" applyFont="1" applyFill="1" applyBorder="1"/>
    <xf numFmtId="0" fontId="4" fillId="4" borderId="52" xfId="0" applyFont="1" applyFill="1" applyBorder="1" applyAlignment="1">
      <alignment horizontal="center" vertical="center"/>
    </xf>
    <xf numFmtId="0" fontId="4" fillId="4" borderId="39" xfId="0" applyFont="1" applyFill="1" applyBorder="1" applyAlignment="1">
      <alignment horizontal="center" vertical="center"/>
    </xf>
    <xf numFmtId="0" fontId="4" fillId="4" borderId="5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2" borderId="1" xfId="0" applyFont="1" applyFill="1" applyBorder="1"/>
    <xf numFmtId="0" fontId="4" fillId="4" borderId="1" xfId="0" applyFont="1" applyFill="1" applyBorder="1"/>
    <xf numFmtId="0" fontId="4" fillId="0" borderId="38" xfId="0" applyFont="1" applyBorder="1" applyAlignment="1">
      <alignment horizontal="center" textRotation="90"/>
    </xf>
    <xf numFmtId="0" fontId="10" fillId="0" borderId="7" xfId="0" applyFont="1" applyBorder="1" applyAlignment="1">
      <alignment horizontal="left"/>
    </xf>
    <xf numFmtId="0" fontId="0" fillId="7" borderId="2" xfId="0" applyFill="1" applyBorder="1" applyProtection="1">
      <protection locked="0" hidden="1"/>
    </xf>
    <xf numFmtId="0" fontId="0" fillId="9" borderId="48" xfId="0" applyFill="1" applyBorder="1" applyAlignment="1" applyProtection="1">
      <alignment horizontal="center" vertical="center"/>
      <protection locked="0" hidden="1"/>
    </xf>
    <xf numFmtId="0" fontId="0" fillId="7" borderId="3" xfId="0" applyFill="1" applyBorder="1" applyAlignment="1" applyProtection="1">
      <alignment horizontal="center" vertical="center"/>
      <protection locked="0" hidden="1"/>
    </xf>
    <xf numFmtId="0" fontId="0" fillId="7" borderId="4" xfId="0" applyFill="1" applyBorder="1" applyProtection="1">
      <protection locked="0" hidden="1"/>
    </xf>
    <xf numFmtId="0" fontId="0" fillId="7" borderId="5" xfId="0" applyFill="1" applyBorder="1" applyProtection="1">
      <protection locked="0" hidden="1"/>
    </xf>
    <xf numFmtId="0" fontId="0" fillId="9" borderId="43" xfId="0" applyFill="1" applyBorder="1" applyAlignment="1" applyProtection="1">
      <alignment horizontal="center" vertical="center"/>
      <protection locked="0" hidden="1"/>
    </xf>
    <xf numFmtId="0" fontId="0" fillId="7" borderId="0" xfId="0" applyFill="1" applyAlignment="1" applyProtection="1">
      <alignment horizontal="center" vertical="center"/>
      <protection locked="0" hidden="1"/>
    </xf>
    <xf numFmtId="0" fontId="0" fillId="7" borderId="6" xfId="0" applyFill="1" applyBorder="1" applyProtection="1">
      <protection locked="0" hidden="1"/>
    </xf>
    <xf numFmtId="0" fontId="0" fillId="7" borderId="14" xfId="0" applyFill="1" applyBorder="1" applyProtection="1">
      <protection locked="0" hidden="1"/>
    </xf>
    <xf numFmtId="0" fontId="0" fillId="9" borderId="50" xfId="0" applyFill="1" applyBorder="1" applyAlignment="1" applyProtection="1">
      <alignment horizontal="center" vertical="center"/>
      <protection locked="0" hidden="1"/>
    </xf>
    <xf numFmtId="0" fontId="0" fillId="7" borderId="15" xfId="0" applyFill="1" applyBorder="1" applyAlignment="1" applyProtection="1">
      <alignment horizontal="center" vertical="center"/>
      <protection locked="0" hidden="1"/>
    </xf>
    <xf numFmtId="0" fontId="0" fillId="7" borderId="16" xfId="0" applyFill="1" applyBorder="1" applyProtection="1">
      <protection locked="0" hidden="1"/>
    </xf>
    <xf numFmtId="0" fontId="4" fillId="0" borderId="4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1" fillId="0" borderId="0" xfId="0" applyFont="1"/>
    <xf numFmtId="0" fontId="12" fillId="0" borderId="0" xfId="0" applyFont="1" applyAlignment="1">
      <alignment horizontal="center"/>
    </xf>
    <xf numFmtId="0" fontId="12" fillId="0" borderId="0" xfId="0" applyFont="1"/>
    <xf numFmtId="0" fontId="11" fillId="0" borderId="14" xfId="0" applyFont="1" applyBorder="1"/>
    <xf numFmtId="0" fontId="12" fillId="0" borderId="15" xfId="0" applyFont="1" applyBorder="1" applyAlignment="1">
      <alignment horizontal="center"/>
    </xf>
    <xf numFmtId="0" fontId="11" fillId="0" borderId="15" xfId="0" applyFont="1" applyBorder="1"/>
    <xf numFmtId="0" fontId="12" fillId="0" borderId="15" xfId="0" applyFont="1" applyBorder="1"/>
    <xf numFmtId="0" fontId="11" fillId="0" borderId="16" xfId="0" applyFont="1" applyBorder="1"/>
    <xf numFmtId="0" fontId="11" fillId="0" borderId="0" xfId="0" applyFont="1" applyAlignment="1">
      <alignment vertical="center"/>
    </xf>
    <xf numFmtId="0" fontId="14" fillId="0" borderId="2" xfId="0" applyFont="1" applyBorder="1"/>
    <xf numFmtId="0" fontId="11" fillId="0" borderId="3" xfId="0" applyFont="1" applyBorder="1"/>
    <xf numFmtId="0" fontId="11" fillId="0" borderId="2" xfId="0" applyFont="1" applyBorder="1"/>
    <xf numFmtId="0" fontId="11" fillId="0" borderId="4" xfId="0" applyFont="1" applyBorder="1"/>
    <xf numFmtId="0" fontId="14" fillId="0" borderId="5" xfId="0" applyFont="1" applyBorder="1"/>
    <xf numFmtId="0" fontId="14" fillId="0" borderId="6" xfId="0" applyFont="1" applyBorder="1" applyAlignment="1">
      <alignment horizontal="left"/>
    </xf>
    <xf numFmtId="11" fontId="14" fillId="0" borderId="14" xfId="0" applyNumberFormat="1" applyFont="1" applyBorder="1" applyAlignment="1">
      <alignment vertical="center"/>
    </xf>
    <xf numFmtId="11" fontId="14" fillId="0" borderId="15" xfId="0" applyNumberFormat="1" applyFont="1" applyBorder="1" applyAlignment="1">
      <alignment vertical="center"/>
    </xf>
    <xf numFmtId="0" fontId="19" fillId="0" borderId="0" xfId="0" applyFont="1"/>
    <xf numFmtId="0" fontId="14" fillId="0" borderId="21" xfId="0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0" fontId="17" fillId="0" borderId="32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11" fillId="0" borderId="6" xfId="0" applyFont="1" applyBorder="1"/>
    <xf numFmtId="0" fontId="14" fillId="0" borderId="1" xfId="0" applyFont="1" applyBorder="1"/>
    <xf numFmtId="0" fontId="14" fillId="0" borderId="52" xfId="0" applyFont="1" applyBorder="1" applyAlignment="1">
      <alignment horizontal="center"/>
    </xf>
    <xf numFmtId="0" fontId="14" fillId="0" borderId="39" xfId="0" applyFont="1" applyBorder="1" applyAlignment="1">
      <alignment horizontal="center"/>
    </xf>
    <xf numFmtId="0" fontId="14" fillId="0" borderId="40" xfId="0" applyFont="1" applyBorder="1" applyAlignment="1">
      <alignment horizontal="center"/>
    </xf>
    <xf numFmtId="0" fontId="14" fillId="0" borderId="58" xfId="0" applyFont="1" applyBorder="1" applyAlignment="1">
      <alignment horizontal="center"/>
    </xf>
    <xf numFmtId="0" fontId="14" fillId="0" borderId="59" xfId="0" applyFont="1" applyBorder="1" applyAlignment="1">
      <alignment horizontal="center"/>
    </xf>
    <xf numFmtId="0" fontId="15" fillId="0" borderId="21" xfId="0" applyFont="1" applyBorder="1"/>
    <xf numFmtId="0" fontId="15" fillId="0" borderId="60" xfId="0" applyFont="1" applyBorder="1" applyAlignment="1">
      <alignment horizontal="center"/>
    </xf>
    <xf numFmtId="0" fontId="15" fillId="0" borderId="48" xfId="0" applyFont="1" applyBorder="1" applyAlignment="1">
      <alignment horizontal="center"/>
    </xf>
    <xf numFmtId="0" fontId="14" fillId="0" borderId="61" xfId="0" applyFont="1" applyBorder="1" applyAlignment="1">
      <alignment horizontal="center"/>
    </xf>
    <xf numFmtId="0" fontId="14" fillId="0" borderId="62" xfId="0" applyFont="1" applyBorder="1" applyAlignment="1">
      <alignment horizontal="center"/>
    </xf>
    <xf numFmtId="0" fontId="15" fillId="0" borderId="24" xfId="0" applyFont="1" applyBorder="1"/>
    <xf numFmtId="0" fontId="15" fillId="0" borderId="63" xfId="0" applyFont="1" applyBorder="1" applyAlignment="1">
      <alignment horizontal="center"/>
    </xf>
    <xf numFmtId="0" fontId="15" fillId="0" borderId="43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45" xfId="0" applyFont="1" applyBorder="1" applyAlignment="1">
      <alignment horizontal="center"/>
    </xf>
    <xf numFmtId="0" fontId="15" fillId="0" borderId="12" xfId="0" applyFont="1" applyBorder="1"/>
    <xf numFmtId="0" fontId="15" fillId="0" borderId="29" xfId="0" applyFont="1" applyBorder="1"/>
    <xf numFmtId="0" fontId="15" fillId="0" borderId="56" xfId="0" applyFont="1" applyBorder="1" applyAlignment="1">
      <alignment horizontal="center"/>
    </xf>
    <xf numFmtId="0" fontId="15" fillId="0" borderId="50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4" fillId="0" borderId="64" xfId="0" applyFont="1" applyBorder="1" applyAlignment="1">
      <alignment horizontal="center"/>
    </xf>
    <xf numFmtId="0" fontId="15" fillId="0" borderId="11" xfId="0" applyFont="1" applyBorder="1"/>
    <xf numFmtId="0" fontId="12" fillId="0" borderId="6" xfId="0" applyFont="1" applyBorder="1"/>
    <xf numFmtId="0" fontId="14" fillId="0" borderId="65" xfId="0" applyFont="1" applyBorder="1" applyAlignment="1">
      <alignment horizontal="center"/>
    </xf>
    <xf numFmtId="0" fontId="14" fillId="0" borderId="66" xfId="0" applyFont="1" applyBorder="1" applyAlignment="1">
      <alignment horizontal="center"/>
    </xf>
    <xf numFmtId="0" fontId="14" fillId="0" borderId="46" xfId="0" applyFont="1" applyBorder="1" applyAlignment="1">
      <alignment horizontal="center"/>
    </xf>
    <xf numFmtId="0" fontId="15" fillId="0" borderId="35" xfId="0" applyFont="1" applyBorder="1"/>
    <xf numFmtId="0" fontId="15" fillId="0" borderId="26" xfId="0" applyFont="1" applyBorder="1"/>
    <xf numFmtId="0" fontId="15" fillId="0" borderId="6" xfId="0" applyFont="1" applyBorder="1"/>
    <xf numFmtId="0" fontId="11" fillId="0" borderId="24" xfId="0" applyFont="1" applyBorder="1"/>
    <xf numFmtId="0" fontId="14" fillId="0" borderId="19" xfId="0" applyFont="1" applyBorder="1"/>
    <xf numFmtId="0" fontId="18" fillId="0" borderId="5" xfId="0" applyFont="1" applyBorder="1"/>
    <xf numFmtId="0" fontId="21" fillId="0" borderId="43" xfId="0" applyFont="1" applyBorder="1" applyAlignment="1">
      <alignment horizontal="center"/>
    </xf>
    <xf numFmtId="0" fontId="17" fillId="0" borderId="24" xfId="0" applyFont="1" applyBorder="1"/>
    <xf numFmtId="0" fontId="14" fillId="0" borderId="43" xfId="0" applyFont="1" applyBorder="1" applyAlignment="1">
      <alignment horizontal="center"/>
    </xf>
    <xf numFmtId="0" fontId="14" fillId="0" borderId="37" xfId="0" applyFont="1" applyBorder="1" applyAlignment="1">
      <alignment horizontal="center"/>
    </xf>
    <xf numFmtId="0" fontId="14" fillId="0" borderId="36" xfId="0" applyFont="1" applyBorder="1" applyAlignment="1">
      <alignment horizontal="center"/>
    </xf>
    <xf numFmtId="165" fontId="14" fillId="0" borderId="43" xfId="0" applyNumberFormat="1" applyFont="1" applyBorder="1" applyAlignment="1">
      <alignment horizontal="center"/>
    </xf>
    <xf numFmtId="0" fontId="12" fillId="0" borderId="63" xfId="0" applyFont="1" applyBorder="1" applyAlignment="1">
      <alignment horizontal="center"/>
    </xf>
    <xf numFmtId="0" fontId="11" fillId="0" borderId="43" xfId="0" applyFont="1" applyBorder="1" applyAlignment="1">
      <alignment horizontal="center"/>
    </xf>
    <xf numFmtId="0" fontId="12" fillId="0" borderId="31" xfId="0" applyFont="1" applyBorder="1" applyAlignment="1">
      <alignment horizontal="center"/>
    </xf>
    <xf numFmtId="0" fontId="18" fillId="0" borderId="29" xfId="0" applyFont="1" applyBorder="1"/>
    <xf numFmtId="0" fontId="11" fillId="0" borderId="5" xfId="0" applyFont="1" applyBorder="1"/>
    <xf numFmtId="0" fontId="11" fillId="0" borderId="5" xfId="0" applyFont="1" applyBorder="1" applyAlignment="1">
      <alignment horizontal="left"/>
    </xf>
    <xf numFmtId="0" fontId="14" fillId="0" borderId="19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1" fillId="0" borderId="45" xfId="0" applyFont="1" applyBorder="1" applyAlignment="1">
      <alignment horizontal="center"/>
    </xf>
    <xf numFmtId="0" fontId="22" fillId="0" borderId="51" xfId="0" applyFont="1" applyBorder="1"/>
    <xf numFmtId="0" fontId="14" fillId="0" borderId="25" xfId="0" applyFont="1" applyBorder="1" applyAlignment="1">
      <alignment horizontal="center"/>
    </xf>
    <xf numFmtId="0" fontId="14" fillId="0" borderId="0" xfId="0" applyFont="1"/>
    <xf numFmtId="0" fontId="17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5" fillId="0" borderId="28" xfId="0" applyFont="1" applyBorder="1"/>
    <xf numFmtId="0" fontId="21" fillId="0" borderId="6" xfId="0" applyFont="1" applyBorder="1"/>
    <xf numFmtId="0" fontId="0" fillId="0" borderId="10" xfId="0" applyBorder="1"/>
    <xf numFmtId="0" fontId="0" fillId="0" borderId="20" xfId="0" applyBorder="1"/>
    <xf numFmtId="0" fontId="3" fillId="0" borderId="19" xfId="0" applyFont="1" applyBorder="1"/>
    <xf numFmtId="0" fontId="0" fillId="8" borderId="1" xfId="0" applyFill="1" applyBorder="1"/>
    <xf numFmtId="0" fontId="3" fillId="2" borderId="4" xfId="0" applyFont="1" applyFill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41" xfId="0" applyFont="1" applyBorder="1" applyAlignment="1">
      <alignment horizontal="right"/>
    </xf>
    <xf numFmtId="0" fontId="3" fillId="0" borderId="39" xfId="0" applyFont="1" applyBorder="1" applyAlignment="1">
      <alignment horizontal="right"/>
    </xf>
    <xf numFmtId="0" fontId="3" fillId="0" borderId="40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0" fontId="3" fillId="4" borderId="3" xfId="0" applyFont="1" applyFill="1" applyBorder="1"/>
    <xf numFmtId="0" fontId="0" fillId="11" borderId="1" xfId="0" applyFill="1" applyBorder="1"/>
    <xf numFmtId="0" fontId="4" fillId="13" borderId="39" xfId="0" applyFont="1" applyFill="1" applyBorder="1" applyAlignment="1">
      <alignment horizontal="center" vertical="center"/>
    </xf>
    <xf numFmtId="0" fontId="4" fillId="13" borderId="20" xfId="0" applyFont="1" applyFill="1" applyBorder="1" applyAlignment="1">
      <alignment horizontal="center" vertical="center"/>
    </xf>
    <xf numFmtId="0" fontId="4" fillId="13" borderId="1" xfId="0" applyFont="1" applyFill="1" applyBorder="1"/>
    <xf numFmtId="0" fontId="3" fillId="11" borderId="1" xfId="0" applyFont="1" applyFill="1" applyBorder="1"/>
    <xf numFmtId="0" fontId="3" fillId="11" borderId="10" xfId="0" applyFont="1" applyFill="1" applyBorder="1"/>
    <xf numFmtId="0" fontId="3" fillId="11" borderId="3" xfId="0" applyFont="1" applyFill="1" applyBorder="1"/>
    <xf numFmtId="0" fontId="4" fillId="11" borderId="52" xfId="0" applyFont="1" applyFill="1" applyBorder="1" applyAlignment="1">
      <alignment horizontal="center" vertical="center"/>
    </xf>
    <xf numFmtId="0" fontId="4" fillId="11" borderId="39" xfId="0" applyFont="1" applyFill="1" applyBorder="1" applyAlignment="1">
      <alignment horizontal="center" vertical="center"/>
    </xf>
    <xf numFmtId="0" fontId="4" fillId="11" borderId="53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24" fillId="12" borderId="23" xfId="0" applyFont="1" applyFill="1" applyBorder="1" applyAlignment="1">
      <alignment horizontal="left"/>
    </xf>
    <xf numFmtId="0" fontId="25" fillId="0" borderId="23" xfId="0" applyFont="1" applyBorder="1" applyAlignment="1">
      <alignment horizontal="right"/>
    </xf>
    <xf numFmtId="0" fontId="4" fillId="14" borderId="39" xfId="0" applyFont="1" applyFill="1" applyBorder="1" applyAlignment="1">
      <alignment horizontal="center" vertical="center"/>
    </xf>
    <xf numFmtId="0" fontId="4" fillId="14" borderId="20" xfId="0" applyFont="1" applyFill="1" applyBorder="1" applyAlignment="1">
      <alignment horizontal="center" vertical="center"/>
    </xf>
    <xf numFmtId="0" fontId="3" fillId="15" borderId="1" xfId="0" applyFont="1" applyFill="1" applyBorder="1"/>
    <xf numFmtId="0" fontId="3" fillId="15" borderId="10" xfId="0" applyFont="1" applyFill="1" applyBorder="1"/>
    <xf numFmtId="0" fontId="3" fillId="15" borderId="3" xfId="0" applyFont="1" applyFill="1" applyBorder="1"/>
    <xf numFmtId="0" fontId="4" fillId="15" borderId="52" xfId="0" applyFont="1" applyFill="1" applyBorder="1" applyAlignment="1">
      <alignment horizontal="center" vertical="center"/>
    </xf>
    <xf numFmtId="0" fontId="4" fillId="15" borderId="39" xfId="0" applyFont="1" applyFill="1" applyBorder="1" applyAlignment="1">
      <alignment horizontal="center" vertical="center"/>
    </xf>
    <xf numFmtId="0" fontId="4" fillId="15" borderId="53" xfId="0" applyFont="1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4" fillId="15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right"/>
    </xf>
    <xf numFmtId="0" fontId="4" fillId="16" borderId="39" xfId="0" applyFont="1" applyFill="1" applyBorder="1" applyAlignment="1">
      <alignment horizontal="center" vertical="center"/>
    </xf>
    <xf numFmtId="0" fontId="4" fillId="16" borderId="20" xfId="0" applyFont="1" applyFill="1" applyBorder="1" applyAlignment="1">
      <alignment horizontal="center" vertical="center"/>
    </xf>
    <xf numFmtId="0" fontId="3" fillId="17" borderId="1" xfId="0" applyFont="1" applyFill="1" applyBorder="1"/>
    <xf numFmtId="0" fontId="3" fillId="17" borderId="10" xfId="0" applyFont="1" applyFill="1" applyBorder="1"/>
    <xf numFmtId="0" fontId="3" fillId="17" borderId="3" xfId="0" applyFont="1" applyFill="1" applyBorder="1"/>
    <xf numFmtId="0" fontId="4" fillId="17" borderId="52" xfId="0" applyFont="1" applyFill="1" applyBorder="1" applyAlignment="1">
      <alignment horizontal="center" vertical="center"/>
    </xf>
    <xf numFmtId="0" fontId="4" fillId="17" borderId="39" xfId="0" applyFont="1" applyFill="1" applyBorder="1" applyAlignment="1">
      <alignment horizontal="center" vertical="center"/>
    </xf>
    <xf numFmtId="0" fontId="4" fillId="17" borderId="53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0" fontId="4" fillId="17" borderId="20" xfId="0" applyFont="1" applyFill="1" applyBorder="1" applyAlignment="1">
      <alignment horizontal="center" vertical="center"/>
    </xf>
    <xf numFmtId="0" fontId="27" fillId="14" borderId="23" xfId="0" applyFont="1" applyFill="1" applyBorder="1" applyAlignment="1">
      <alignment horizontal="right"/>
    </xf>
    <xf numFmtId="0" fontId="4" fillId="18" borderId="39" xfId="0" applyFont="1" applyFill="1" applyBorder="1" applyAlignment="1">
      <alignment horizontal="center" vertical="center"/>
    </xf>
    <xf numFmtId="0" fontId="4" fillId="18" borderId="20" xfId="0" applyFont="1" applyFill="1" applyBorder="1" applyAlignment="1">
      <alignment horizontal="center" vertical="center"/>
    </xf>
    <xf numFmtId="0" fontId="3" fillId="19" borderId="1" xfId="0" applyFont="1" applyFill="1" applyBorder="1"/>
    <xf numFmtId="0" fontId="3" fillId="19" borderId="10" xfId="0" applyFont="1" applyFill="1" applyBorder="1"/>
    <xf numFmtId="0" fontId="3" fillId="19" borderId="3" xfId="0" applyFont="1" applyFill="1" applyBorder="1"/>
    <xf numFmtId="0" fontId="4" fillId="19" borderId="52" xfId="0" applyFont="1" applyFill="1" applyBorder="1" applyAlignment="1">
      <alignment horizontal="center" vertical="center"/>
    </xf>
    <xf numFmtId="0" fontId="4" fillId="19" borderId="39" xfId="0" applyFont="1" applyFill="1" applyBorder="1" applyAlignment="1">
      <alignment horizontal="center" vertical="center"/>
    </xf>
    <xf numFmtId="0" fontId="4" fillId="19" borderId="53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0" fontId="4" fillId="19" borderId="20" xfId="0" applyFont="1" applyFill="1" applyBorder="1" applyAlignment="1">
      <alignment horizontal="center" vertical="center"/>
    </xf>
    <xf numFmtId="0" fontId="25" fillId="18" borderId="23" xfId="0" applyFont="1" applyFill="1" applyBorder="1" applyAlignment="1">
      <alignment horizontal="right"/>
    </xf>
    <xf numFmtId="0" fontId="28" fillId="20" borderId="1" xfId="0" applyFont="1" applyFill="1" applyBorder="1" applyAlignment="1">
      <alignment horizontal="center" vertical="center"/>
    </xf>
    <xf numFmtId="0" fontId="0" fillId="21" borderId="7" xfId="0" applyFill="1" applyBorder="1" applyAlignment="1">
      <alignment horizontal="center" vertical="center"/>
    </xf>
    <xf numFmtId="0" fontId="0" fillId="21" borderId="8" xfId="0" applyFill="1" applyBorder="1" applyAlignment="1">
      <alignment horizontal="center" vertical="center"/>
    </xf>
    <xf numFmtId="0" fontId="0" fillId="21" borderId="9" xfId="0" applyFill="1" applyBorder="1" applyAlignment="1">
      <alignment horizontal="center" vertical="center"/>
    </xf>
    <xf numFmtId="0" fontId="4" fillId="22" borderId="1" xfId="0" applyFont="1" applyFill="1" applyBorder="1" applyAlignment="1">
      <alignment horizontal="center" vertical="center"/>
    </xf>
    <xf numFmtId="0" fontId="26" fillId="23" borderId="44" xfId="0" applyFont="1" applyFill="1" applyBorder="1" applyAlignment="1">
      <alignment horizontal="center" vertical="center"/>
    </xf>
    <xf numFmtId="0" fontId="26" fillId="23" borderId="42" xfId="0" applyFont="1" applyFill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26" fillId="23" borderId="1" xfId="0" applyFont="1" applyFill="1" applyBorder="1"/>
    <xf numFmtId="0" fontId="26" fillId="23" borderId="10" xfId="0" applyFont="1" applyFill="1" applyBorder="1"/>
    <xf numFmtId="0" fontId="26" fillId="23" borderId="3" xfId="0" applyFont="1" applyFill="1" applyBorder="1"/>
    <xf numFmtId="0" fontId="31" fillId="23" borderId="39" xfId="0" applyFont="1" applyFill="1" applyBorder="1" applyAlignment="1">
      <alignment horizontal="center" vertical="center"/>
    </xf>
    <xf numFmtId="0" fontId="31" fillId="23" borderId="1" xfId="0" applyFont="1" applyFill="1" applyBorder="1" applyAlignment="1">
      <alignment horizontal="center" vertical="center"/>
    </xf>
    <xf numFmtId="0" fontId="31" fillId="23" borderId="20" xfId="0" applyFont="1" applyFill="1" applyBorder="1" applyAlignment="1">
      <alignment horizontal="center" vertical="center"/>
    </xf>
    <xf numFmtId="0" fontId="31" fillId="23" borderId="1" xfId="0" applyFont="1" applyFill="1" applyBorder="1"/>
    <xf numFmtId="0" fontId="31" fillId="23" borderId="10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31" fillId="23" borderId="43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0" fontId="15" fillId="0" borderId="67" xfId="0" applyFont="1" applyBorder="1" applyAlignment="1">
      <alignment horizontal="center"/>
    </xf>
    <xf numFmtId="0" fontId="14" fillId="0" borderId="53" xfId="0" applyFont="1" applyBorder="1" applyAlignment="1">
      <alignment horizontal="center"/>
    </xf>
    <xf numFmtId="0" fontId="4" fillId="0" borderId="4" xfId="0" applyFont="1" applyBorder="1" applyAlignment="1">
      <alignment horizontal="center" textRotation="90"/>
    </xf>
    <xf numFmtId="0" fontId="4" fillId="2" borderId="10" xfId="0" applyFont="1" applyFill="1" applyBorder="1"/>
    <xf numFmtId="0" fontId="4" fillId="4" borderId="10" xfId="0" applyFont="1" applyFill="1" applyBorder="1"/>
    <xf numFmtId="0" fontId="10" fillId="0" borderId="11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4" fillId="18" borderId="10" xfId="0" applyFont="1" applyFill="1" applyBorder="1"/>
    <xf numFmtId="0" fontId="4" fillId="19" borderId="10" xfId="0" applyFont="1" applyFill="1" applyBorder="1"/>
    <xf numFmtId="0" fontId="4" fillId="16" borderId="10" xfId="0" applyFont="1" applyFill="1" applyBorder="1"/>
    <xf numFmtId="0" fontId="4" fillId="17" borderId="10" xfId="0" applyFont="1" applyFill="1" applyBorder="1"/>
    <xf numFmtId="0" fontId="4" fillId="14" borderId="10" xfId="0" applyFont="1" applyFill="1" applyBorder="1"/>
    <xf numFmtId="0" fontId="4" fillId="15" borderId="10" xfId="0" applyFont="1" applyFill="1" applyBorder="1"/>
    <xf numFmtId="0" fontId="4" fillId="13" borderId="10" xfId="0" applyFont="1" applyFill="1" applyBorder="1"/>
    <xf numFmtId="0" fontId="4" fillId="11" borderId="10" xfId="0" applyFont="1" applyFill="1" applyBorder="1"/>
    <xf numFmtId="0" fontId="30" fillId="0" borderId="11" xfId="0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0" fontId="30" fillId="0" borderId="13" xfId="0" applyFont="1" applyBorder="1" applyAlignment="1">
      <alignment horizontal="left"/>
    </xf>
    <xf numFmtId="0" fontId="4" fillId="2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4" fillId="16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32" fillId="0" borderId="43" xfId="0" applyFont="1" applyBorder="1" applyAlignment="1">
      <alignment horizontal="center"/>
    </xf>
    <xf numFmtId="0" fontId="29" fillId="0" borderId="33" xfId="0" applyFont="1" applyBorder="1" applyAlignment="1">
      <alignment horizontal="center" vertical="center"/>
    </xf>
    <xf numFmtId="0" fontId="3" fillId="0" borderId="7" xfId="0" applyFont="1" applyBorder="1" applyAlignment="1">
      <alignment horizontal="left"/>
    </xf>
    <xf numFmtId="0" fontId="3" fillId="0" borderId="68" xfId="0" applyFont="1" applyBorder="1" applyAlignment="1">
      <alignment horizontal="left"/>
    </xf>
    <xf numFmtId="0" fontId="4" fillId="5" borderId="7" xfId="0" applyFont="1" applyFill="1" applyBorder="1"/>
    <xf numFmtId="0" fontId="3" fillId="2" borderId="19" xfId="0" applyFont="1" applyFill="1" applyBorder="1"/>
    <xf numFmtId="0" fontId="3" fillId="2" borderId="1" xfId="0" applyFont="1" applyFill="1" applyBorder="1" applyAlignment="1">
      <alignment horizontal="center"/>
    </xf>
    <xf numFmtId="0" fontId="4" fillId="0" borderId="9" xfId="0" applyFont="1" applyBorder="1"/>
    <xf numFmtId="0" fontId="3" fillId="0" borderId="9" xfId="0" applyFont="1" applyBorder="1" applyAlignment="1">
      <alignment horizontal="left"/>
    </xf>
    <xf numFmtId="0" fontId="3" fillId="0" borderId="3" xfId="0" applyFont="1" applyBorder="1"/>
    <xf numFmtId="0" fontId="14" fillId="0" borderId="22" xfId="0" applyFont="1" applyBorder="1" applyAlignment="1">
      <alignment horizontal="center"/>
    </xf>
    <xf numFmtId="0" fontId="15" fillId="0" borderId="71" xfId="0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4" fillId="0" borderId="72" xfId="0" applyFont="1" applyBorder="1" applyAlignment="1">
      <alignment horizontal="center"/>
    </xf>
    <xf numFmtId="0" fontId="14" fillId="0" borderId="73" xfId="0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4" fillId="0" borderId="74" xfId="0" applyFont="1" applyBorder="1" applyAlignment="1">
      <alignment horizontal="center"/>
    </xf>
    <xf numFmtId="0" fontId="14" fillId="0" borderId="75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5" fillId="0" borderId="61" xfId="0" applyFont="1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70" xfId="0" applyFont="1" applyBorder="1" applyAlignment="1">
      <alignment horizontal="center"/>
    </xf>
    <xf numFmtId="0" fontId="15" fillId="0" borderId="69" xfId="0" applyFont="1" applyBorder="1" applyAlignment="1">
      <alignment horizontal="center"/>
    </xf>
    <xf numFmtId="0" fontId="15" fillId="0" borderId="68" xfId="0" applyFont="1" applyBorder="1" applyAlignment="1">
      <alignment horizontal="center"/>
    </xf>
    <xf numFmtId="0" fontId="15" fillId="0" borderId="66" xfId="0" applyFont="1" applyBorder="1" applyAlignment="1">
      <alignment horizontal="center"/>
    </xf>
    <xf numFmtId="0" fontId="14" fillId="0" borderId="68" xfId="0" applyFont="1" applyBorder="1" applyAlignment="1">
      <alignment horizontal="center"/>
    </xf>
    <xf numFmtId="0" fontId="22" fillId="0" borderId="45" xfId="0" applyFont="1" applyBorder="1"/>
    <xf numFmtId="165" fontId="14" fillId="0" borderId="45" xfId="0" applyNumberFormat="1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41" xfId="0" applyFont="1" applyBorder="1" applyAlignment="1">
      <alignment horizontal="center"/>
    </xf>
    <xf numFmtId="0" fontId="15" fillId="0" borderId="65" xfId="0" applyFont="1" applyBorder="1" applyAlignment="1">
      <alignment horizontal="center"/>
    </xf>
    <xf numFmtId="0" fontId="15" fillId="0" borderId="37" xfId="0" applyFont="1" applyBorder="1" applyAlignment="1">
      <alignment horizontal="center"/>
    </xf>
    <xf numFmtId="0" fontId="21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165" fontId="14" fillId="0" borderId="31" xfId="0" applyNumberFormat="1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21" fillId="0" borderId="63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14" fillId="0" borderId="63" xfId="0" applyFont="1" applyBorder="1" applyAlignment="1">
      <alignment horizontal="center"/>
    </xf>
    <xf numFmtId="165" fontId="14" fillId="0" borderId="63" xfId="0" applyNumberFormat="1" applyFont="1" applyBorder="1" applyAlignment="1">
      <alignment horizontal="center"/>
    </xf>
    <xf numFmtId="1" fontId="14" fillId="0" borderId="17" xfId="0" applyNumberFormat="1" applyFont="1" applyBorder="1" applyAlignment="1">
      <alignment horizontal="center"/>
    </xf>
    <xf numFmtId="0" fontId="3" fillId="0" borderId="0" xfId="0" applyFont="1" applyAlignment="1">
      <alignment horizontal="right"/>
    </xf>
    <xf numFmtId="0" fontId="26" fillId="23" borderId="42" xfId="0" applyFont="1" applyFill="1" applyBorder="1"/>
    <xf numFmtId="0" fontId="4" fillId="0" borderId="20" xfId="0" applyFont="1" applyBorder="1" applyAlignment="1">
      <alignment horizontal="left"/>
    </xf>
    <xf numFmtId="0" fontId="31" fillId="23" borderId="52" xfId="0" applyFont="1" applyFill="1" applyBorder="1" applyAlignment="1">
      <alignment horizontal="center" vertical="center"/>
    </xf>
    <xf numFmtId="0" fontId="31" fillId="23" borderId="40" xfId="0" applyFont="1" applyFill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4" fillId="12" borderId="60" xfId="0" applyFont="1" applyFill="1" applyBorder="1" applyAlignment="1">
      <alignment horizontal="center" vertical="center"/>
    </xf>
    <xf numFmtId="0" fontId="4" fillId="12" borderId="63" xfId="0" applyFont="1" applyFill="1" applyBorder="1" applyAlignment="1">
      <alignment horizontal="center" vertical="center"/>
    </xf>
    <xf numFmtId="0" fontId="4" fillId="12" borderId="56" xfId="0" applyFont="1" applyFill="1" applyBorder="1" applyAlignment="1">
      <alignment horizontal="center" vertical="center"/>
    </xf>
    <xf numFmtId="0" fontId="10" fillId="0" borderId="11" xfId="0" applyFont="1" applyBorder="1" applyAlignment="1">
      <alignment horizontal="left" wrapText="1"/>
    </xf>
    <xf numFmtId="0" fontId="4" fillId="0" borderId="20" xfId="0" applyFont="1" applyBorder="1"/>
    <xf numFmtId="0" fontId="26" fillId="23" borderId="16" xfId="0" applyFont="1" applyFill="1" applyBorder="1"/>
    <xf numFmtId="0" fontId="4" fillId="12" borderId="23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horizontal="center" vertical="center"/>
    </xf>
    <xf numFmtId="0" fontId="4" fillId="12" borderId="13" xfId="0" applyFont="1" applyFill="1" applyBorder="1" applyAlignment="1">
      <alignment horizontal="center" vertical="center"/>
    </xf>
    <xf numFmtId="0" fontId="31" fillId="23" borderId="59" xfId="0" applyFont="1" applyFill="1" applyBorder="1" applyAlignment="1">
      <alignment horizontal="center" vertical="center"/>
    </xf>
    <xf numFmtId="0" fontId="29" fillId="0" borderId="43" xfId="0" applyFont="1" applyBorder="1" applyAlignment="1">
      <alignment horizontal="center" vertical="center"/>
    </xf>
    <xf numFmtId="0" fontId="34" fillId="24" borderId="19" xfId="0" applyFont="1" applyFill="1" applyBorder="1" applyAlignment="1">
      <alignment vertical="center"/>
    </xf>
    <xf numFmtId="0" fontId="34" fillId="24" borderId="20" xfId="0" applyFont="1" applyFill="1" applyBorder="1" applyAlignment="1">
      <alignment vertical="center"/>
    </xf>
    <xf numFmtId="0" fontId="34" fillId="24" borderId="10" xfId="0" applyFont="1" applyFill="1" applyBorder="1" applyAlignment="1">
      <alignment vertical="center"/>
    </xf>
    <xf numFmtId="0" fontId="0" fillId="22" borderId="5" xfId="0" applyFill="1" applyBorder="1"/>
    <xf numFmtId="0" fontId="0" fillId="22" borderId="0" xfId="0" applyFill="1"/>
    <xf numFmtId="0" fontId="0" fillId="22" borderId="6" xfId="0" applyFill="1" applyBorder="1"/>
    <xf numFmtId="0" fontId="26" fillId="22" borderId="33" xfId="0" applyFont="1" applyFill="1" applyBorder="1" applyAlignment="1">
      <alignment horizontal="left"/>
    </xf>
    <xf numFmtId="0" fontId="35" fillId="13" borderId="9" xfId="0" applyFont="1" applyFill="1" applyBorder="1"/>
    <xf numFmtId="0" fontId="35" fillId="13" borderId="15" xfId="0" applyFont="1" applyFill="1" applyBorder="1"/>
    <xf numFmtId="14" fontId="0" fillId="0" borderId="0" xfId="0" applyNumberFormat="1"/>
    <xf numFmtId="19" fontId="0" fillId="0" borderId="0" xfId="0" applyNumberFormat="1"/>
    <xf numFmtId="0" fontId="3" fillId="0" borderId="43" xfId="0" applyFont="1" applyBorder="1"/>
    <xf numFmtId="14" fontId="0" fillId="0" borderId="43" xfId="0" applyNumberFormat="1" applyBorder="1"/>
    <xf numFmtId="19" fontId="0" fillId="0" borderId="43" xfId="0" applyNumberFormat="1" applyBorder="1"/>
    <xf numFmtId="0" fontId="3" fillId="0" borderId="43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2" xfId="0" applyBorder="1" applyAlignment="1">
      <alignment horizontal="center"/>
    </xf>
    <xf numFmtId="20" fontId="0" fillId="0" borderId="0" xfId="0" applyNumberFormat="1"/>
    <xf numFmtId="0" fontId="11" fillId="3" borderId="2" xfId="0" applyFont="1" applyFill="1" applyBorder="1"/>
    <xf numFmtId="0" fontId="11" fillId="3" borderId="3" xfId="0" applyFont="1" applyFill="1" applyBorder="1"/>
    <xf numFmtId="0" fontId="11" fillId="3" borderId="4" xfId="0" applyFont="1" applyFill="1" applyBorder="1"/>
    <xf numFmtId="0" fontId="11" fillId="3" borderId="5" xfId="0" applyFont="1" applyFill="1" applyBorder="1"/>
    <xf numFmtId="0" fontId="11" fillId="3" borderId="6" xfId="0" applyFont="1" applyFill="1" applyBorder="1"/>
    <xf numFmtId="0" fontId="11" fillId="3" borderId="5" xfId="0" applyFont="1" applyFill="1" applyBorder="1" applyAlignment="1">
      <alignment vertical="center"/>
    </xf>
    <xf numFmtId="0" fontId="11" fillId="3" borderId="0" xfId="0" applyFont="1" applyFill="1" applyAlignment="1">
      <alignment vertical="center"/>
    </xf>
    <xf numFmtId="0" fontId="11" fillId="3" borderId="6" xfId="0" applyFont="1" applyFill="1" applyBorder="1" applyAlignment="1">
      <alignment vertical="center"/>
    </xf>
    <xf numFmtId="0" fontId="11" fillId="3" borderId="0" xfId="0" applyFont="1" applyFill="1"/>
    <xf numFmtId="0" fontId="19" fillId="3" borderId="5" xfId="0" applyFont="1" applyFill="1" applyBorder="1"/>
    <xf numFmtId="0" fontId="19" fillId="3" borderId="6" xfId="0" applyFont="1" applyFill="1" applyBorder="1"/>
    <xf numFmtId="0" fontId="11" fillId="3" borderId="14" xfId="0" applyFont="1" applyFill="1" applyBorder="1"/>
    <xf numFmtId="0" fontId="11" fillId="3" borderId="15" xfId="0" applyFont="1" applyFill="1" applyBorder="1"/>
    <xf numFmtId="0" fontId="11" fillId="3" borderId="16" xfId="0" applyFont="1" applyFill="1" applyBorder="1"/>
    <xf numFmtId="20" fontId="40" fillId="0" borderId="66" xfId="0" applyNumberFormat="1" applyFont="1" applyBorder="1" applyAlignment="1">
      <alignment vertical="center"/>
    </xf>
    <xf numFmtId="0" fontId="40" fillId="0" borderId="0" xfId="0" applyFont="1" applyAlignment="1">
      <alignment vertical="center"/>
    </xf>
    <xf numFmtId="0" fontId="4" fillId="0" borderId="1" xfId="0" applyFont="1" applyBorder="1" applyAlignment="1">
      <alignment horizontal="right"/>
    </xf>
    <xf numFmtId="0" fontId="4" fillId="13" borderId="41" xfId="0" applyFont="1" applyFill="1" applyBorder="1" applyAlignment="1">
      <alignment horizontal="center" vertical="center"/>
    </xf>
    <xf numFmtId="1" fontId="4" fillId="13" borderId="39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right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textRotation="90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36" fillId="0" borderId="0" xfId="0" applyFont="1"/>
    <xf numFmtId="165" fontId="4" fillId="12" borderId="62" xfId="0" applyNumberFormat="1" applyFont="1" applyFill="1" applyBorder="1" applyAlignment="1">
      <alignment horizontal="center" vertical="center"/>
    </xf>
    <xf numFmtId="165" fontId="4" fillId="12" borderId="45" xfId="0" applyNumberFormat="1" applyFont="1" applyFill="1" applyBorder="1" applyAlignment="1">
      <alignment horizontal="center" vertical="center"/>
    </xf>
    <xf numFmtId="165" fontId="4" fillId="12" borderId="64" xfId="0" applyNumberFormat="1" applyFont="1" applyFill="1" applyBorder="1" applyAlignment="1">
      <alignment horizontal="center" vertical="center"/>
    </xf>
    <xf numFmtId="0" fontId="5" fillId="0" borderId="48" xfId="0" applyFont="1" applyBorder="1" applyAlignment="1">
      <alignment horizontal="center" wrapText="1"/>
    </xf>
    <xf numFmtId="0" fontId="5" fillId="0" borderId="50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165" fontId="5" fillId="0" borderId="33" xfId="0" applyNumberFormat="1" applyFont="1" applyBorder="1" applyAlignment="1">
      <alignment horizontal="center" wrapText="1"/>
    </xf>
    <xf numFmtId="0" fontId="5" fillId="11" borderId="77" xfId="0" applyFont="1" applyFill="1" applyBorder="1" applyAlignment="1">
      <alignment horizontal="center" vertical="center" wrapText="1"/>
    </xf>
    <xf numFmtId="0" fontId="5" fillId="11" borderId="61" xfId="0" applyFont="1" applyFill="1" applyBorder="1" applyAlignment="1">
      <alignment horizontal="center" vertical="center" wrapText="1"/>
    </xf>
    <xf numFmtId="0" fontId="41" fillId="11" borderId="61" xfId="0" applyFont="1" applyFill="1" applyBorder="1" applyAlignment="1">
      <alignment horizontal="center" vertical="center" wrapText="1"/>
    </xf>
    <xf numFmtId="0" fontId="41" fillId="11" borderId="40" xfId="0" applyFont="1" applyFill="1" applyBorder="1" applyAlignment="1">
      <alignment horizontal="center" vertical="center" wrapText="1"/>
    </xf>
    <xf numFmtId="0" fontId="5" fillId="11" borderId="40" xfId="0" applyFont="1" applyFill="1" applyBorder="1" applyAlignment="1">
      <alignment horizontal="center" vertical="center" wrapText="1"/>
    </xf>
    <xf numFmtId="0" fontId="43" fillId="11" borderId="61" xfId="0" applyFont="1" applyFill="1" applyBorder="1" applyAlignment="1">
      <alignment horizontal="center" vertical="center" wrapText="1"/>
    </xf>
    <xf numFmtId="0" fontId="43" fillId="11" borderId="40" xfId="0" applyFont="1" applyFill="1" applyBorder="1" applyAlignment="1">
      <alignment horizontal="center" vertical="center" wrapText="1"/>
    </xf>
    <xf numFmtId="0" fontId="5" fillId="0" borderId="51" xfId="0" applyFont="1" applyBorder="1" applyAlignment="1">
      <alignment horizontal="center" wrapText="1"/>
    </xf>
    <xf numFmtId="0" fontId="44" fillId="0" borderId="0" xfId="0" applyFont="1"/>
    <xf numFmtId="0" fontId="8" fillId="0" borderId="0" xfId="0" applyFont="1" applyAlignment="1">
      <alignment horizontal="left"/>
    </xf>
    <xf numFmtId="0" fontId="4" fillId="0" borderId="21" xfId="0" applyFont="1" applyBorder="1" applyAlignment="1">
      <alignment horizontal="right"/>
    </xf>
    <xf numFmtId="0" fontId="4" fillId="0" borderId="22" xfId="0" applyFont="1" applyBorder="1" applyAlignment="1">
      <alignment horizontal="right"/>
    </xf>
    <xf numFmtId="0" fontId="4" fillId="0" borderId="23" xfId="0" applyFont="1" applyBorder="1" applyAlignment="1">
      <alignment horizontal="right"/>
    </xf>
    <xf numFmtId="0" fontId="4" fillId="0" borderId="24" xfId="0" applyFont="1" applyBorder="1" applyAlignment="1">
      <alignment horizontal="right"/>
    </xf>
    <xf numFmtId="0" fontId="4" fillId="0" borderId="25" xfId="0" applyFont="1" applyBorder="1" applyAlignment="1">
      <alignment horizontal="right"/>
    </xf>
    <xf numFmtId="0" fontId="4" fillId="0" borderId="12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4" fillId="0" borderId="28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0" fontId="3" fillId="0" borderId="10" xfId="0" applyFont="1" applyBorder="1" applyAlignment="1">
      <alignment horizontal="right"/>
    </xf>
    <xf numFmtId="0" fontId="4" fillId="0" borderId="29" xfId="0" applyFont="1" applyBorder="1" applyAlignment="1">
      <alignment horizontal="right"/>
    </xf>
    <xf numFmtId="0" fontId="4" fillId="0" borderId="30" xfId="0" applyFont="1" applyBorder="1" applyAlignment="1">
      <alignment horizontal="right"/>
    </xf>
    <xf numFmtId="0" fontId="4" fillId="0" borderId="13" xfId="0" applyFont="1" applyBorder="1" applyAlignment="1">
      <alignment horizontal="right"/>
    </xf>
    <xf numFmtId="0" fontId="37" fillId="3" borderId="15" xfId="0" applyFont="1" applyFill="1" applyBorder="1" applyAlignment="1">
      <alignment horizontal="center"/>
    </xf>
    <xf numFmtId="0" fontId="38" fillId="3" borderId="15" xfId="0" applyFont="1" applyFill="1" applyBorder="1" applyAlignment="1">
      <alignment horizontal="center"/>
    </xf>
    <xf numFmtId="0" fontId="39" fillId="3" borderId="15" xfId="0" applyFont="1" applyFill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1" fillId="0" borderId="5" xfId="0" applyFont="1" applyBorder="1" applyAlignment="1">
      <alignment horizontal="left"/>
    </xf>
    <xf numFmtId="0" fontId="11" fillId="0" borderId="0" xfId="0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2" xfId="0" applyFont="1" applyBorder="1"/>
    <xf numFmtId="0" fontId="15" fillId="0" borderId="0" xfId="0" applyFont="1"/>
    <xf numFmtId="0" fontId="15" fillId="0" borderId="3" xfId="0" applyFont="1" applyBorder="1"/>
    <xf numFmtId="0" fontId="15" fillId="0" borderId="4" xfId="0" applyFont="1" applyBorder="1"/>
    <xf numFmtId="0" fontId="11" fillId="0" borderId="5" xfId="0" applyFont="1" applyBorder="1"/>
    <xf numFmtId="0" fontId="11" fillId="0" borderId="0" xfId="0" applyFont="1"/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17" fillId="0" borderId="0" xfId="0" applyFont="1"/>
    <xf numFmtId="0" fontId="17" fillId="0" borderId="6" xfId="0" applyFont="1" applyBorder="1"/>
    <xf numFmtId="0" fontId="11" fillId="0" borderId="0" xfId="0" applyFont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56" xfId="0" applyFont="1" applyBorder="1" applyAlignment="1">
      <alignment horizontal="center"/>
    </xf>
    <xf numFmtId="0" fontId="11" fillId="0" borderId="50" xfId="0" applyFont="1" applyBorder="1" applyAlignment="1">
      <alignment horizontal="center"/>
    </xf>
    <xf numFmtId="0" fontId="11" fillId="0" borderId="69" xfId="0" applyFont="1" applyBorder="1" applyAlignment="1">
      <alignment horizontal="center"/>
    </xf>
    <xf numFmtId="0" fontId="11" fillId="0" borderId="57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4" fillId="0" borderId="0" xfId="0" applyFont="1" applyAlignment="1">
      <alignment horizontal="left"/>
    </xf>
    <xf numFmtId="0" fontId="14" fillId="0" borderId="6" xfId="0" applyFont="1" applyBorder="1" applyAlignment="1">
      <alignment horizontal="left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4" fillId="0" borderId="38" xfId="0" applyFont="1" applyBorder="1" applyAlignment="1">
      <alignment vertical="center"/>
    </xf>
    <xf numFmtId="0" fontId="14" fillId="0" borderId="44" xfId="0" applyFont="1" applyBorder="1" applyAlignment="1">
      <alignment vertical="center"/>
    </xf>
    <xf numFmtId="0" fontId="14" fillId="0" borderId="42" xfId="0" applyFont="1" applyBorder="1" applyAlignment="1">
      <alignment vertical="center"/>
    </xf>
    <xf numFmtId="0" fontId="14" fillId="0" borderId="21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54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14" fillId="0" borderId="55" xfId="0" applyFont="1" applyBorder="1" applyAlignment="1">
      <alignment horizontal="center" vertical="center"/>
    </xf>
    <xf numFmtId="0" fontId="14" fillId="0" borderId="57" xfId="0" applyFont="1" applyBorder="1" applyAlignment="1">
      <alignment horizontal="center" vertical="center"/>
    </xf>
    <xf numFmtId="0" fontId="14" fillId="0" borderId="54" xfId="0" applyFont="1" applyBorder="1" applyAlignment="1">
      <alignment horizontal="center" vertical="center"/>
    </xf>
    <xf numFmtId="0" fontId="14" fillId="0" borderId="4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/>
    </xf>
    <xf numFmtId="164" fontId="14" fillId="0" borderId="15" xfId="0" applyNumberFormat="1" applyFont="1" applyBorder="1" applyAlignment="1">
      <alignment horizontal="left" vertical="center"/>
    </xf>
    <xf numFmtId="164" fontId="14" fillId="0" borderId="16" xfId="0" applyNumberFormat="1" applyFont="1" applyBorder="1" applyAlignment="1">
      <alignment horizontal="left" vertic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4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6" xfId="0" applyFont="1" applyBorder="1" applyAlignment="1">
      <alignment horizontal="center"/>
    </xf>
    <xf numFmtId="0" fontId="12" fillId="0" borderId="19" xfId="0" applyFont="1" applyBorder="1" applyAlignment="1">
      <alignment vertical="center"/>
    </xf>
    <xf numFmtId="0" fontId="12" fillId="0" borderId="20" xfId="0" applyFont="1" applyBorder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5" fillId="0" borderId="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5" fillId="0" borderId="5" xfId="0" applyFont="1" applyBorder="1"/>
    <xf numFmtId="0" fontId="14" fillId="0" borderId="0" xfId="0" applyFont="1" applyAlignment="1">
      <alignment horizontal="center"/>
    </xf>
    <xf numFmtId="0" fontId="14" fillId="0" borderId="6" xfId="0" applyFont="1" applyBorder="1" applyAlignment="1">
      <alignment horizontal="center"/>
    </xf>
    <xf numFmtId="0" fontId="16" fillId="0" borderId="0" xfId="0" applyFont="1"/>
    <xf numFmtId="0" fontId="16" fillId="0" borderId="6" xfId="0" applyFont="1" applyBorder="1"/>
    <xf numFmtId="0" fontId="4" fillId="0" borderId="2" xfId="0" applyFont="1" applyBorder="1" applyAlignment="1">
      <alignment wrapText="1"/>
    </xf>
    <xf numFmtId="0" fontId="4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0" xfId="0" applyFont="1" applyAlignment="1">
      <alignment wrapText="1"/>
    </xf>
    <xf numFmtId="0" fontId="4" fillId="0" borderId="6" xfId="0" applyFont="1" applyBorder="1" applyAlignment="1">
      <alignment wrapText="1"/>
    </xf>
    <xf numFmtId="0" fontId="4" fillId="0" borderId="14" xfId="0" applyFont="1" applyBorder="1" applyAlignment="1">
      <alignment wrapText="1"/>
    </xf>
    <xf numFmtId="0" fontId="4" fillId="0" borderId="15" xfId="0" applyFont="1" applyBorder="1" applyAlignment="1">
      <alignment wrapText="1"/>
    </xf>
    <xf numFmtId="0" fontId="4" fillId="0" borderId="16" xfId="0" applyFont="1" applyBorder="1" applyAlignment="1">
      <alignment wrapText="1"/>
    </xf>
    <xf numFmtId="0" fontId="36" fillId="0" borderId="19" xfId="0" applyFont="1" applyBorder="1" applyAlignment="1">
      <alignment horizontal="center"/>
    </xf>
    <xf numFmtId="0" fontId="36" fillId="0" borderId="20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5" fillId="0" borderId="30" xfId="0" applyFont="1" applyBorder="1" applyAlignment="1">
      <alignment horizontal="center" vertical="center"/>
    </xf>
    <xf numFmtId="0" fontId="42" fillId="0" borderId="0" xfId="0" applyFont="1" applyAlignment="1">
      <alignment horizontal="center" vertical="top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0" fillId="0" borderId="67" xfId="0" applyFont="1" applyBorder="1" applyAlignment="1">
      <alignment horizontal="left" vertical="center" wrapText="1"/>
    </xf>
    <xf numFmtId="0" fontId="40" fillId="0" borderId="51" xfId="0" applyFont="1" applyBorder="1" applyAlignment="1">
      <alignment horizontal="left" vertical="center" wrapText="1"/>
    </xf>
    <xf numFmtId="0" fontId="40" fillId="0" borderId="56" xfId="0" applyFont="1" applyBorder="1" applyAlignment="1">
      <alignment horizontal="left" vertical="center" wrapText="1"/>
    </xf>
    <xf numFmtId="0" fontId="40" fillId="0" borderId="50" xfId="0" applyFont="1" applyBorder="1" applyAlignment="1">
      <alignment horizontal="left" vertical="center" wrapText="1"/>
    </xf>
    <xf numFmtId="0" fontId="5" fillId="0" borderId="38" xfId="0" applyFont="1" applyBorder="1" applyAlignment="1">
      <alignment horizontal="center" vertical="center" textRotation="90" wrapText="1"/>
    </xf>
    <xf numFmtId="0" fontId="5" fillId="0" borderId="44" xfId="0" applyFont="1" applyBorder="1" applyAlignment="1">
      <alignment horizontal="center" vertical="center" textRotation="90" wrapText="1"/>
    </xf>
    <xf numFmtId="0" fontId="5" fillId="0" borderId="42" xfId="0" applyFont="1" applyBorder="1" applyAlignment="1">
      <alignment horizontal="center" vertical="center" textRotation="90" wrapText="1"/>
    </xf>
    <xf numFmtId="0" fontId="40" fillId="0" borderId="60" xfId="0" applyFont="1" applyBorder="1" applyAlignment="1">
      <alignment horizontal="left" vertical="center" wrapText="1"/>
    </xf>
    <xf numFmtId="0" fontId="40" fillId="0" borderId="48" xfId="0" applyFont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 wrapText="1"/>
    </xf>
    <xf numFmtId="0" fontId="40" fillId="0" borderId="58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40" fillId="0" borderId="76" xfId="0" applyFont="1" applyBorder="1" applyAlignment="1">
      <alignment horizontal="left" vertical="center" wrapText="1"/>
    </xf>
  </cellXfs>
  <cellStyles count="1">
    <cellStyle name="Normal" xfId="0" builtinId="0"/>
  </cellStyles>
  <dxfs count="84">
    <dxf>
      <font>
        <b/>
        <i val="0"/>
        <color rgb="FFFF0000"/>
      </font>
      <fill>
        <patternFill>
          <bgColor theme="0" tint="-4.9989318521683403E-2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darkGrid">
          <bgColor theme="0" tint="-0.24994659260841701"/>
        </patternFill>
      </fill>
    </dxf>
    <dxf>
      <font>
        <b/>
        <i val="0"/>
        <color theme="0"/>
      </font>
      <fill>
        <patternFill patternType="darkGray"/>
      </fill>
    </dxf>
  </dxfs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1066800</xdr:colOff>
          <xdr:row>3</xdr:row>
          <xdr:rowOff>66675</xdr:rowOff>
        </xdr:from>
        <xdr:to>
          <xdr:col>5</xdr:col>
          <xdr:colOff>2133600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élèves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3038475</xdr:colOff>
          <xdr:row>3</xdr:row>
          <xdr:rowOff>76200</xdr:rowOff>
        </xdr:from>
        <xdr:to>
          <xdr:col>5</xdr:col>
          <xdr:colOff>971550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élève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942975</xdr:colOff>
          <xdr:row>3</xdr:row>
          <xdr:rowOff>76200</xdr:rowOff>
        </xdr:from>
        <xdr:to>
          <xdr:col>3</xdr:col>
          <xdr:colOff>1724025</xdr:colOff>
          <xdr:row>4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4</xdr:row>
          <xdr:rowOff>57150</xdr:rowOff>
        </xdr:from>
        <xdr:to>
          <xdr:col>9</xdr:col>
          <xdr:colOff>247650</xdr:colOff>
          <xdr:row>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57150</xdr:rowOff>
        </xdr:from>
        <xdr:to>
          <xdr:col>8</xdr:col>
          <xdr:colOff>95250</xdr:colOff>
          <xdr:row>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546100</xdr:colOff>
          <xdr:row>18</xdr:row>
          <xdr:rowOff>67733</xdr:rowOff>
        </xdr:from>
        <xdr:to>
          <xdr:col>10</xdr:col>
          <xdr:colOff>717550</xdr:colOff>
          <xdr:row>19</xdr:row>
          <xdr:rowOff>115358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Enregistrer 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18</xdr:row>
          <xdr:rowOff>47625</xdr:rowOff>
        </xdr:from>
        <xdr:to>
          <xdr:col>7</xdr:col>
          <xdr:colOff>419100</xdr:colOff>
          <xdr:row>19</xdr:row>
          <xdr:rowOff>95250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485775</xdr:colOff>
          <xdr:row>18</xdr:row>
          <xdr:rowOff>47625</xdr:rowOff>
        </xdr:from>
        <xdr:to>
          <xdr:col>8</xdr:col>
          <xdr:colOff>85725</xdr:colOff>
          <xdr:row>19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19050</xdr:rowOff>
        </xdr:from>
        <xdr:to>
          <xdr:col>13</xdr:col>
          <xdr:colOff>590550</xdr:colOff>
          <xdr:row>6</xdr:row>
          <xdr:rowOff>66675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6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PALMARES PERIODE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11</xdr:row>
          <xdr:rowOff>133350</xdr:rowOff>
        </xdr:from>
        <xdr:to>
          <xdr:col>15</xdr:col>
          <xdr:colOff>695325</xdr:colOff>
          <xdr:row>12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la liste de proclamation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619125</xdr:colOff>
          <xdr:row>21</xdr:row>
          <xdr:rowOff>85725</xdr:rowOff>
        </xdr:from>
        <xdr:to>
          <xdr:col>15</xdr:col>
          <xdr:colOff>676275</xdr:colOff>
          <xdr:row>22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la liste de proclamation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9</xdr:row>
          <xdr:rowOff>66675</xdr:rowOff>
        </xdr:from>
        <xdr:to>
          <xdr:col>10</xdr:col>
          <xdr:colOff>695325</xdr:colOff>
          <xdr:row>10</xdr:row>
          <xdr:rowOff>104775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6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Un fichier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76200</xdr:rowOff>
        </xdr:from>
        <xdr:to>
          <xdr:col>8</xdr:col>
          <xdr:colOff>438150</xdr:colOff>
          <xdr:row>10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6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25</xdr:row>
          <xdr:rowOff>85725</xdr:rowOff>
        </xdr:from>
        <xdr:to>
          <xdr:col>13</xdr:col>
          <xdr:colOff>85725</xdr:colOff>
          <xdr:row>26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6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25</xdr:row>
          <xdr:rowOff>85725</xdr:rowOff>
        </xdr:from>
        <xdr:to>
          <xdr:col>13</xdr:col>
          <xdr:colOff>676275</xdr:colOff>
          <xdr:row>26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6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25</xdr:row>
          <xdr:rowOff>85725</xdr:rowOff>
        </xdr:from>
        <xdr:to>
          <xdr:col>14</xdr:col>
          <xdr:colOff>495300</xdr:colOff>
          <xdr:row>26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6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25</xdr:row>
          <xdr:rowOff>85725</xdr:rowOff>
        </xdr:from>
        <xdr:to>
          <xdr:col>15</xdr:col>
          <xdr:colOff>342900</xdr:colOff>
          <xdr:row>26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6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27</xdr:row>
          <xdr:rowOff>47625</xdr:rowOff>
        </xdr:from>
        <xdr:to>
          <xdr:col>13</xdr:col>
          <xdr:colOff>85725</xdr:colOff>
          <xdr:row>28</xdr:row>
          <xdr:rowOff>95250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6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27</xdr:row>
          <xdr:rowOff>47625</xdr:rowOff>
        </xdr:from>
        <xdr:to>
          <xdr:col>13</xdr:col>
          <xdr:colOff>676275</xdr:colOff>
          <xdr:row>28</xdr:row>
          <xdr:rowOff>95250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6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27</xdr:row>
          <xdr:rowOff>47625</xdr:rowOff>
        </xdr:from>
        <xdr:to>
          <xdr:col>14</xdr:col>
          <xdr:colOff>495300</xdr:colOff>
          <xdr:row>28</xdr:row>
          <xdr:rowOff>95250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6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EXAM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27</xdr:row>
          <xdr:rowOff>47625</xdr:rowOff>
        </xdr:from>
        <xdr:to>
          <xdr:col>15</xdr:col>
          <xdr:colOff>342900</xdr:colOff>
          <xdr:row>28</xdr:row>
          <xdr:rowOff>95250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SEM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29</xdr:row>
          <xdr:rowOff>47625</xdr:rowOff>
        </xdr:from>
        <xdr:to>
          <xdr:col>13</xdr:col>
          <xdr:colOff>85725</xdr:colOff>
          <xdr:row>30</xdr:row>
          <xdr:rowOff>95250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29</xdr:row>
          <xdr:rowOff>38100</xdr:rowOff>
        </xdr:from>
        <xdr:to>
          <xdr:col>13</xdr:col>
          <xdr:colOff>676275</xdr:colOff>
          <xdr:row>30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2SESS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29</xdr:row>
          <xdr:rowOff>28575</xdr:rowOff>
        </xdr:from>
        <xdr:to>
          <xdr:col>15</xdr:col>
          <xdr:colOff>371475</xdr:colOff>
          <xdr:row>30</xdr:row>
          <xdr:rowOff>76200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6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BULLETIN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180975</xdr:colOff>
          <xdr:row>7</xdr:row>
          <xdr:rowOff>85725</xdr:rowOff>
        </xdr:from>
        <xdr:to>
          <xdr:col>20</xdr:col>
          <xdr:colOff>571500</xdr:colOff>
          <xdr:row>8</xdr:row>
          <xdr:rowOff>104775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6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une archive de l'année précédente (palmares)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76200</xdr:rowOff>
        </xdr:from>
        <xdr:to>
          <xdr:col>3</xdr:col>
          <xdr:colOff>876300</xdr:colOff>
          <xdr:row>4</xdr:row>
          <xdr:rowOff>114300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6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Modèle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3</xdr:row>
          <xdr:rowOff>66675</xdr:rowOff>
        </xdr:from>
        <xdr:to>
          <xdr:col>2</xdr:col>
          <xdr:colOff>714375</xdr:colOff>
          <xdr:row>4</xdr:row>
          <xdr:rowOff>133350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6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liste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1228725</xdr:colOff>
          <xdr:row>1</xdr:row>
          <xdr:rowOff>38100</xdr:rowOff>
        </xdr:from>
        <xdr:to>
          <xdr:col>5</xdr:col>
          <xdr:colOff>2190750</xdr:colOff>
          <xdr:row>1</xdr:row>
          <xdr:rowOff>266700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6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Initialisatios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295275</xdr:rowOff>
        </xdr:from>
        <xdr:to>
          <xdr:col>5</xdr:col>
          <xdr:colOff>1123950</xdr:colOff>
          <xdr:row>1</xdr:row>
          <xdr:rowOff>276225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6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4</xdr:row>
          <xdr:rowOff>47625</xdr:rowOff>
        </xdr:from>
        <xdr:to>
          <xdr:col>10</xdr:col>
          <xdr:colOff>714375</xdr:colOff>
          <xdr:row>5</xdr:row>
          <xdr:rowOff>142875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6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Dossier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647700</xdr:colOff>
          <xdr:row>5</xdr:row>
          <xdr:rowOff>38100</xdr:rowOff>
        </xdr:from>
        <xdr:to>
          <xdr:col>15</xdr:col>
          <xdr:colOff>647700</xdr:colOff>
          <xdr:row>6</xdr:row>
          <xdr:rowOff>76200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6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LISTE PROCLAMATION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366346</xdr:colOff>
      <xdr:row>3</xdr:row>
      <xdr:rowOff>36635</xdr:rowOff>
    </xdr:from>
    <xdr:to>
      <xdr:col>3</xdr:col>
      <xdr:colOff>1162196</xdr:colOff>
      <xdr:row>5</xdr:row>
      <xdr:rowOff>16972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4B4EDD3-83C2-4771-9507-BD1186B2CDBF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09421" y="579560"/>
          <a:ext cx="795850" cy="3827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229659</xdr:colOff>
      <xdr:row>2</xdr:row>
      <xdr:rowOff>91017</xdr:rowOff>
    </xdr:from>
    <xdr:to>
      <xdr:col>15</xdr:col>
      <xdr:colOff>358775</xdr:colOff>
      <xdr:row>5</xdr:row>
      <xdr:rowOff>151077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B7A692AD-6BBC-4A5D-A883-52DFD19C78DD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255" r="6977"/>
        <a:stretch/>
      </xdr:blipFill>
      <xdr:spPr bwMode="auto">
        <a:xfrm>
          <a:off x="7725834" y="462492"/>
          <a:ext cx="738716" cy="66251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560917</xdr:colOff>
      <xdr:row>7</xdr:row>
      <xdr:rowOff>48683</xdr:rowOff>
    </xdr:from>
    <xdr:to>
      <xdr:col>15</xdr:col>
      <xdr:colOff>760046</xdr:colOff>
      <xdr:row>7</xdr:row>
      <xdr:rowOff>267758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707AD40-D30E-4EC7-825B-E20EEBD51F54}"/>
            </a:ext>
          </a:extLst>
        </xdr:cNvPr>
        <xdr:cNvGrpSpPr/>
      </xdr:nvGrpSpPr>
      <xdr:grpSpPr>
        <a:xfrm>
          <a:off x="2303992" y="1420283"/>
          <a:ext cx="6571354" cy="219075"/>
          <a:chOff x="2486025" y="1409700"/>
          <a:chExt cx="6334125" cy="161925"/>
        </a:xfrm>
      </xdr:grpSpPr>
      <xdr:grpSp>
        <xdr:nvGrpSpPr>
          <xdr:cNvPr id="6" name="Groupe 5">
            <a:extLst>
              <a:ext uri="{FF2B5EF4-FFF2-40B4-BE49-F238E27FC236}">
                <a16:creationId xmlns:a16="http://schemas.microsoft.com/office/drawing/2014/main" id="{4E26982D-7E37-DDB5-A840-D0D7681398AD}"/>
              </a:ext>
            </a:extLst>
          </xdr:cNvPr>
          <xdr:cNvGrpSpPr/>
        </xdr:nvGrpSpPr>
        <xdr:grpSpPr>
          <a:xfrm>
            <a:off x="2486025" y="1409700"/>
            <a:ext cx="2486025" cy="161925"/>
            <a:chOff x="2457450" y="2419350"/>
            <a:chExt cx="2486025" cy="161925"/>
          </a:xfrm>
        </xdr:grpSpPr>
        <xdr:sp macro="" textlink="">
          <xdr:nvSpPr>
            <xdr:cNvPr id="22" name="Rectangle 21">
              <a:extLst>
                <a:ext uri="{FF2B5EF4-FFF2-40B4-BE49-F238E27FC236}">
                  <a16:creationId xmlns:a16="http://schemas.microsoft.com/office/drawing/2014/main" id="{D219C4E7-3A8D-4440-F6B0-9623A77CD99B}"/>
                </a:ext>
              </a:extLst>
            </xdr:cNvPr>
            <xdr:cNvSpPr/>
          </xdr:nvSpPr>
          <xdr:spPr>
            <a:xfrm>
              <a:off x="24574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F14AE18D-9B0F-4241-00BF-00769A627ABC}"/>
                </a:ext>
              </a:extLst>
            </xdr:cNvPr>
            <xdr:cNvSpPr/>
          </xdr:nvSpPr>
          <xdr:spPr>
            <a:xfrm>
              <a:off x="27336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13D8EA88-5C03-06DE-350D-165119AC4026}"/>
                </a:ext>
              </a:extLst>
            </xdr:cNvPr>
            <xdr:cNvSpPr/>
          </xdr:nvSpPr>
          <xdr:spPr>
            <a:xfrm>
              <a:off x="30099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56DB2ED9-0853-166D-D1E7-8722B64CAB6E}"/>
                </a:ext>
              </a:extLst>
            </xdr:cNvPr>
            <xdr:cNvSpPr/>
          </xdr:nvSpPr>
          <xdr:spPr>
            <a:xfrm>
              <a:off x="32861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32E26F6C-2FAA-BD09-CE65-6893DB68CAAD}"/>
                </a:ext>
              </a:extLst>
            </xdr:cNvPr>
            <xdr:cNvSpPr/>
          </xdr:nvSpPr>
          <xdr:spPr>
            <a:xfrm>
              <a:off x="35623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AEB35ADE-F051-AFF1-0AB0-F45492A6F638}"/>
                </a:ext>
              </a:extLst>
            </xdr:cNvPr>
            <xdr:cNvSpPr/>
          </xdr:nvSpPr>
          <xdr:spPr>
            <a:xfrm>
              <a:off x="38385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7B1C216A-0F56-841C-8ECA-9C0F7A0C77CC}"/>
                </a:ext>
              </a:extLst>
            </xdr:cNvPr>
            <xdr:cNvSpPr/>
          </xdr:nvSpPr>
          <xdr:spPr>
            <a:xfrm>
              <a:off x="41148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5C9D4D47-65D1-6447-4CE1-FF333EB854FD}"/>
                </a:ext>
              </a:extLst>
            </xdr:cNvPr>
            <xdr:cNvSpPr/>
          </xdr:nvSpPr>
          <xdr:spPr>
            <a:xfrm>
              <a:off x="43910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9FE01087-1AE6-309F-4496-499CFB50B3F6}"/>
                </a:ext>
              </a:extLst>
            </xdr:cNvPr>
            <xdr:cNvSpPr/>
          </xdr:nvSpPr>
          <xdr:spPr>
            <a:xfrm>
              <a:off x="46672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19B5990F-61DE-90F6-14B8-E36B041B4C24}"/>
              </a:ext>
            </a:extLst>
          </xdr:cNvPr>
          <xdr:cNvGrpSpPr/>
        </xdr:nvGrpSpPr>
        <xdr:grpSpPr>
          <a:xfrm>
            <a:off x="4972050" y="1409700"/>
            <a:ext cx="2486025" cy="161925"/>
            <a:chOff x="2457450" y="2419350"/>
            <a:chExt cx="2486025" cy="161925"/>
          </a:xfrm>
        </xdr:grpSpPr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AC7EB7B7-A4CC-C606-7E27-CA515D36B1F5}"/>
                </a:ext>
              </a:extLst>
            </xdr:cNvPr>
            <xdr:cNvSpPr/>
          </xdr:nvSpPr>
          <xdr:spPr>
            <a:xfrm>
              <a:off x="24574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9A0E9693-C8A1-D1EB-E403-608B2E6385D5}"/>
                </a:ext>
              </a:extLst>
            </xdr:cNvPr>
            <xdr:cNvSpPr/>
          </xdr:nvSpPr>
          <xdr:spPr>
            <a:xfrm>
              <a:off x="27336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5" name="Rectangle 14">
              <a:extLst>
                <a:ext uri="{FF2B5EF4-FFF2-40B4-BE49-F238E27FC236}">
                  <a16:creationId xmlns:a16="http://schemas.microsoft.com/office/drawing/2014/main" id="{42952156-74B9-5348-2906-6B9F51721066}"/>
                </a:ext>
              </a:extLst>
            </xdr:cNvPr>
            <xdr:cNvSpPr/>
          </xdr:nvSpPr>
          <xdr:spPr>
            <a:xfrm>
              <a:off x="30099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24C807A9-65D4-41ED-2288-BB767F2A66B9}"/>
                </a:ext>
              </a:extLst>
            </xdr:cNvPr>
            <xdr:cNvSpPr/>
          </xdr:nvSpPr>
          <xdr:spPr>
            <a:xfrm>
              <a:off x="32861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7" name="Rectangle 16">
              <a:extLst>
                <a:ext uri="{FF2B5EF4-FFF2-40B4-BE49-F238E27FC236}">
                  <a16:creationId xmlns:a16="http://schemas.microsoft.com/office/drawing/2014/main" id="{6B5B2C62-6E7E-AC7E-1DE2-AB3C5CAE1AD9}"/>
                </a:ext>
              </a:extLst>
            </xdr:cNvPr>
            <xdr:cNvSpPr/>
          </xdr:nvSpPr>
          <xdr:spPr>
            <a:xfrm>
              <a:off x="35623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" name="Rectangle 17">
              <a:extLst>
                <a:ext uri="{FF2B5EF4-FFF2-40B4-BE49-F238E27FC236}">
                  <a16:creationId xmlns:a16="http://schemas.microsoft.com/office/drawing/2014/main" id="{E8D1BB2C-2077-28B6-7D3E-37E848D8374A}"/>
                </a:ext>
              </a:extLst>
            </xdr:cNvPr>
            <xdr:cNvSpPr/>
          </xdr:nvSpPr>
          <xdr:spPr>
            <a:xfrm>
              <a:off x="38385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50525FBF-3CAB-93DF-5821-DC1F1B4B73D2}"/>
                </a:ext>
              </a:extLst>
            </xdr:cNvPr>
            <xdr:cNvSpPr/>
          </xdr:nvSpPr>
          <xdr:spPr>
            <a:xfrm>
              <a:off x="41148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337C49-EFA2-8974-9DC0-A59398032057}"/>
                </a:ext>
              </a:extLst>
            </xdr:cNvPr>
            <xdr:cNvSpPr/>
          </xdr:nvSpPr>
          <xdr:spPr>
            <a:xfrm>
              <a:off x="43910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9D976340-9C20-F2BD-33D1-8CE906E22586}"/>
                </a:ext>
              </a:extLst>
            </xdr:cNvPr>
            <xdr:cNvSpPr/>
          </xdr:nvSpPr>
          <xdr:spPr>
            <a:xfrm>
              <a:off x="46672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5226D77B-2757-E661-DF3F-E5A1A0882C43}"/>
              </a:ext>
            </a:extLst>
          </xdr:cNvPr>
          <xdr:cNvSpPr/>
        </xdr:nvSpPr>
        <xdr:spPr>
          <a:xfrm>
            <a:off x="7439025" y="140970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4DDB6395-1C2B-DC13-AC70-25B471250071}"/>
              </a:ext>
            </a:extLst>
          </xdr:cNvPr>
          <xdr:cNvSpPr/>
        </xdr:nvSpPr>
        <xdr:spPr>
          <a:xfrm>
            <a:off x="7715250" y="140970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20FE84DE-9D30-F696-2B41-DDB3F05D6472}"/>
              </a:ext>
            </a:extLst>
          </xdr:cNvPr>
          <xdr:cNvSpPr/>
        </xdr:nvSpPr>
        <xdr:spPr>
          <a:xfrm>
            <a:off x="7991475" y="140970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3C63FD51-3F97-D745-C39E-AEE084654D62}"/>
              </a:ext>
            </a:extLst>
          </xdr:cNvPr>
          <xdr:cNvSpPr/>
        </xdr:nvSpPr>
        <xdr:spPr>
          <a:xfrm>
            <a:off x="8267700" y="140970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C91C4562-6187-FCF9-7CED-F3B22E9E1DD0}"/>
              </a:ext>
            </a:extLst>
          </xdr:cNvPr>
          <xdr:cNvSpPr/>
        </xdr:nvSpPr>
        <xdr:spPr>
          <a:xfrm>
            <a:off x="8543925" y="140970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3</xdr:col>
      <xdr:colOff>759884</xdr:colOff>
      <xdr:row>11</xdr:row>
      <xdr:rowOff>167218</xdr:rowOff>
    </xdr:from>
    <xdr:to>
      <xdr:col>7</xdr:col>
      <xdr:colOff>210039</xdr:colOff>
      <xdr:row>12</xdr:row>
      <xdr:rowOff>149227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20F1AB2-C675-470D-A37F-9AE8AD180B23}"/>
            </a:ext>
          </a:extLst>
        </xdr:cNvPr>
        <xdr:cNvGrpSpPr/>
      </xdr:nvGrpSpPr>
      <xdr:grpSpPr>
        <a:xfrm>
          <a:off x="2502959" y="2415118"/>
          <a:ext cx="2517205" cy="182034"/>
          <a:chOff x="2457450" y="2419350"/>
          <a:chExt cx="2486025" cy="161925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D939A766-AC5B-6C4B-7354-C29C95CD9C9C}"/>
              </a:ext>
            </a:extLst>
          </xdr:cNvPr>
          <xdr:cNvSpPr/>
        </xdr:nvSpPr>
        <xdr:spPr>
          <a:xfrm>
            <a:off x="2457450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608E032E-42A7-A08A-A859-7FBFAE3DBC92}"/>
              </a:ext>
            </a:extLst>
          </xdr:cNvPr>
          <xdr:cNvSpPr/>
        </xdr:nvSpPr>
        <xdr:spPr>
          <a:xfrm>
            <a:off x="2733675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DAD2FF5F-4062-3D2B-6950-297E42E02FD9}"/>
              </a:ext>
            </a:extLst>
          </xdr:cNvPr>
          <xdr:cNvSpPr/>
        </xdr:nvSpPr>
        <xdr:spPr>
          <a:xfrm>
            <a:off x="3009900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0420EED0-7E2D-9C89-ACFD-6BC5826C4D42}"/>
              </a:ext>
            </a:extLst>
          </xdr:cNvPr>
          <xdr:cNvSpPr/>
        </xdr:nvSpPr>
        <xdr:spPr>
          <a:xfrm>
            <a:off x="3286125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B9ED9192-042C-71DC-1EEE-9F067B53BBB7}"/>
              </a:ext>
            </a:extLst>
          </xdr:cNvPr>
          <xdr:cNvSpPr/>
        </xdr:nvSpPr>
        <xdr:spPr>
          <a:xfrm>
            <a:off x="3562350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98289AA8-6337-DADC-6807-A129F1613E86}"/>
              </a:ext>
            </a:extLst>
          </xdr:cNvPr>
          <xdr:cNvSpPr/>
        </xdr:nvSpPr>
        <xdr:spPr>
          <a:xfrm>
            <a:off x="3838575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752B7642-C4D6-A4CD-7BCA-D4D33932D0C9}"/>
              </a:ext>
            </a:extLst>
          </xdr:cNvPr>
          <xdr:cNvSpPr/>
        </xdr:nvSpPr>
        <xdr:spPr>
          <a:xfrm>
            <a:off x="4114800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EB5EC256-AC7D-837B-CF97-ABABA32F89D3}"/>
              </a:ext>
            </a:extLst>
          </xdr:cNvPr>
          <xdr:cNvSpPr/>
        </xdr:nvSpPr>
        <xdr:spPr>
          <a:xfrm>
            <a:off x="4391025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35A16C8F-25CA-08AF-0538-F556D4C983B4}"/>
              </a:ext>
            </a:extLst>
          </xdr:cNvPr>
          <xdr:cNvSpPr/>
        </xdr:nvSpPr>
        <xdr:spPr>
          <a:xfrm>
            <a:off x="4667250" y="2419350"/>
            <a:ext cx="276225" cy="161925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10</xdr:col>
      <xdr:colOff>9525</xdr:colOff>
      <xdr:row>12</xdr:row>
      <xdr:rowOff>28575</xdr:rowOff>
    </xdr:from>
    <xdr:to>
      <xdr:col>15</xdr:col>
      <xdr:colOff>885825</xdr:colOff>
      <xdr:row>12</xdr:row>
      <xdr:rowOff>201087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87B2043B-AD69-44B9-BE15-32422F9EF270}"/>
            </a:ext>
          </a:extLst>
        </xdr:cNvPr>
        <xdr:cNvGrpSpPr/>
      </xdr:nvGrpSpPr>
      <xdr:grpSpPr>
        <a:xfrm>
          <a:off x="5962650" y="2476500"/>
          <a:ext cx="3038475" cy="172512"/>
          <a:chOff x="6095999" y="2419351"/>
          <a:chExt cx="2641602" cy="171449"/>
        </a:xfrm>
      </xdr:grpSpPr>
      <xdr:grpSp>
        <xdr:nvGrpSpPr>
          <xdr:cNvPr id="42" name="Groupe 41">
            <a:extLst>
              <a:ext uri="{FF2B5EF4-FFF2-40B4-BE49-F238E27FC236}">
                <a16:creationId xmlns:a16="http://schemas.microsoft.com/office/drawing/2014/main" id="{3EFB5A12-67F5-3CC8-78A0-5770C01F5EC3}"/>
              </a:ext>
            </a:extLst>
          </xdr:cNvPr>
          <xdr:cNvGrpSpPr/>
        </xdr:nvGrpSpPr>
        <xdr:grpSpPr>
          <a:xfrm>
            <a:off x="6095999" y="2419351"/>
            <a:ext cx="1828801" cy="171449"/>
            <a:chOff x="2457450" y="2419350"/>
            <a:chExt cx="2486025" cy="161925"/>
          </a:xfrm>
        </xdr:grpSpPr>
        <xdr:sp macro="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46583A81-FB4E-E519-A4AB-8561A3C3410D}"/>
                </a:ext>
              </a:extLst>
            </xdr:cNvPr>
            <xdr:cNvSpPr/>
          </xdr:nvSpPr>
          <xdr:spPr>
            <a:xfrm>
              <a:off x="24574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48" name="Rectangle 47">
              <a:extLst>
                <a:ext uri="{FF2B5EF4-FFF2-40B4-BE49-F238E27FC236}">
                  <a16:creationId xmlns:a16="http://schemas.microsoft.com/office/drawing/2014/main" id="{C4E57AE8-5033-F2B9-4939-0BC8FE0B7E7D}"/>
                </a:ext>
              </a:extLst>
            </xdr:cNvPr>
            <xdr:cNvSpPr/>
          </xdr:nvSpPr>
          <xdr:spPr>
            <a:xfrm>
              <a:off x="27336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49" name="Rectangle 48">
              <a:extLst>
                <a:ext uri="{FF2B5EF4-FFF2-40B4-BE49-F238E27FC236}">
                  <a16:creationId xmlns:a16="http://schemas.microsoft.com/office/drawing/2014/main" id="{403491AF-B257-BA32-2A8D-F0BFB0F16CDB}"/>
                </a:ext>
              </a:extLst>
            </xdr:cNvPr>
            <xdr:cNvSpPr/>
          </xdr:nvSpPr>
          <xdr:spPr>
            <a:xfrm>
              <a:off x="30099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0" name="Rectangle 49">
              <a:extLst>
                <a:ext uri="{FF2B5EF4-FFF2-40B4-BE49-F238E27FC236}">
                  <a16:creationId xmlns:a16="http://schemas.microsoft.com/office/drawing/2014/main" id="{05BD48D7-3F4D-676A-46D3-6CD124E19325}"/>
                </a:ext>
              </a:extLst>
            </xdr:cNvPr>
            <xdr:cNvSpPr/>
          </xdr:nvSpPr>
          <xdr:spPr>
            <a:xfrm>
              <a:off x="32861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1" name="Rectangle 50">
              <a:extLst>
                <a:ext uri="{FF2B5EF4-FFF2-40B4-BE49-F238E27FC236}">
                  <a16:creationId xmlns:a16="http://schemas.microsoft.com/office/drawing/2014/main" id="{91709E5D-0A93-48ED-2FE4-FA6A4765286A}"/>
                </a:ext>
              </a:extLst>
            </xdr:cNvPr>
            <xdr:cNvSpPr/>
          </xdr:nvSpPr>
          <xdr:spPr>
            <a:xfrm>
              <a:off x="35623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2" name="Rectangle 51">
              <a:extLst>
                <a:ext uri="{FF2B5EF4-FFF2-40B4-BE49-F238E27FC236}">
                  <a16:creationId xmlns:a16="http://schemas.microsoft.com/office/drawing/2014/main" id="{6A66F256-5591-DEBA-B0FA-3152D175B18D}"/>
                </a:ext>
              </a:extLst>
            </xdr:cNvPr>
            <xdr:cNvSpPr/>
          </xdr:nvSpPr>
          <xdr:spPr>
            <a:xfrm>
              <a:off x="383857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3" name="Rectangle 52">
              <a:extLst>
                <a:ext uri="{FF2B5EF4-FFF2-40B4-BE49-F238E27FC236}">
                  <a16:creationId xmlns:a16="http://schemas.microsoft.com/office/drawing/2014/main" id="{848E5854-3F81-8A46-82B2-75CF5C1C6DCD}"/>
                </a:ext>
              </a:extLst>
            </xdr:cNvPr>
            <xdr:cNvSpPr/>
          </xdr:nvSpPr>
          <xdr:spPr>
            <a:xfrm>
              <a:off x="411480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82FBEB54-C0EA-481C-F6AD-AA72205232CE}"/>
                </a:ext>
              </a:extLst>
            </xdr:cNvPr>
            <xdr:cNvSpPr/>
          </xdr:nvSpPr>
          <xdr:spPr>
            <a:xfrm>
              <a:off x="4391025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55" name="Rectangle 54">
              <a:extLst>
                <a:ext uri="{FF2B5EF4-FFF2-40B4-BE49-F238E27FC236}">
                  <a16:creationId xmlns:a16="http://schemas.microsoft.com/office/drawing/2014/main" id="{9CA3F44A-492C-64A8-E73D-7DEA43E057CF}"/>
                </a:ext>
              </a:extLst>
            </xdr:cNvPr>
            <xdr:cNvSpPr/>
          </xdr:nvSpPr>
          <xdr:spPr>
            <a:xfrm>
              <a:off x="4667250" y="2419350"/>
              <a:ext cx="276225" cy="161925"/>
            </a:xfrm>
            <a:prstGeom prst="rect">
              <a:avLst/>
            </a:prstGeom>
            <a:ln w="12700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B8DF8E21-57BC-9433-51AA-50D7CE1FEDC5}"/>
              </a:ext>
            </a:extLst>
          </xdr:cNvPr>
          <xdr:cNvSpPr/>
        </xdr:nvSpPr>
        <xdr:spPr>
          <a:xfrm>
            <a:off x="7924801" y="2419351"/>
            <a:ext cx="203200" cy="171449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5309CAA7-0F22-361E-BB9E-70164884684C}"/>
              </a:ext>
            </a:extLst>
          </xdr:cNvPr>
          <xdr:cNvSpPr/>
        </xdr:nvSpPr>
        <xdr:spPr>
          <a:xfrm>
            <a:off x="8128001" y="2419351"/>
            <a:ext cx="203200" cy="171449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C4267D6-CB4E-E64B-74E4-1D2CE700A0C3}"/>
              </a:ext>
            </a:extLst>
          </xdr:cNvPr>
          <xdr:cNvSpPr/>
        </xdr:nvSpPr>
        <xdr:spPr>
          <a:xfrm>
            <a:off x="8331201" y="2419351"/>
            <a:ext cx="203200" cy="171449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EB3D1EA2-6C84-7220-3BA3-6CA7B5A83C51}"/>
              </a:ext>
            </a:extLst>
          </xdr:cNvPr>
          <xdr:cNvSpPr/>
        </xdr:nvSpPr>
        <xdr:spPr>
          <a:xfrm>
            <a:off x="8534401" y="2419351"/>
            <a:ext cx="203200" cy="171449"/>
          </a:xfrm>
          <a:prstGeom prst="rect">
            <a:avLst/>
          </a:prstGeom>
          <a:ln w="12700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7</xdr:row>
          <xdr:rowOff>66675</xdr:rowOff>
        </xdr:from>
        <xdr:to>
          <xdr:col>20</xdr:col>
          <xdr:colOff>285750</xdr:colOff>
          <xdr:row>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DU BULLETIN POUR CHAQUE ELEVE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7</xdr:row>
          <xdr:rowOff>85725</xdr:rowOff>
        </xdr:from>
        <xdr:to>
          <xdr:col>22</xdr:col>
          <xdr:colOff>485775</xdr:colOff>
          <xdr:row>9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B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DU BULLETIN POUR L'ELEVE ACTIF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12</xdr:row>
          <xdr:rowOff>66675</xdr:rowOff>
        </xdr:from>
        <xdr:to>
          <xdr:col>20</xdr:col>
          <xdr:colOff>285750</xdr:colOff>
          <xdr:row>14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B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DU BULLETIN POUR CHAQUE ELEVE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12</xdr:row>
          <xdr:rowOff>85725</xdr:rowOff>
        </xdr:from>
        <xdr:to>
          <xdr:col>22</xdr:col>
          <xdr:colOff>485775</xdr:colOff>
          <xdr:row>14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B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DU BULLETIN POUR L'ELEVE ACTIF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295275</xdr:colOff>
          <xdr:row>17</xdr:row>
          <xdr:rowOff>66675</xdr:rowOff>
        </xdr:from>
        <xdr:to>
          <xdr:col>20</xdr:col>
          <xdr:colOff>285750</xdr:colOff>
          <xdr:row>20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B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IMPRIMER TOUS LES BULLETINS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447675</xdr:colOff>
          <xdr:row>17</xdr:row>
          <xdr:rowOff>85725</xdr:rowOff>
        </xdr:from>
        <xdr:to>
          <xdr:col>22</xdr:col>
          <xdr:colOff>485775</xdr:colOff>
          <xdr:row>20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B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 POUR L'ELEVE ACTIF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16</xdr:row>
          <xdr:rowOff>38100</xdr:rowOff>
        </xdr:from>
        <xdr:to>
          <xdr:col>10</xdr:col>
          <xdr:colOff>457200</xdr:colOff>
          <xdr:row>17</xdr:row>
          <xdr:rowOff>123825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561975</xdr:colOff>
          <xdr:row>16</xdr:row>
          <xdr:rowOff>38100</xdr:rowOff>
        </xdr:from>
        <xdr:to>
          <xdr:col>11</xdr:col>
          <xdr:colOff>466725</xdr:colOff>
          <xdr:row>17</xdr:row>
          <xdr:rowOff>123825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D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16</xdr:row>
          <xdr:rowOff>38100</xdr:rowOff>
        </xdr:from>
        <xdr:to>
          <xdr:col>12</xdr:col>
          <xdr:colOff>571500</xdr:colOff>
          <xdr:row>17</xdr:row>
          <xdr:rowOff>123825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D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15</xdr:row>
          <xdr:rowOff>38100</xdr:rowOff>
        </xdr:from>
        <xdr:to>
          <xdr:col>11</xdr:col>
          <xdr:colOff>457200</xdr:colOff>
          <xdr:row>16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E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15</xdr:row>
          <xdr:rowOff>38100</xdr:rowOff>
        </xdr:from>
        <xdr:to>
          <xdr:col>12</xdr:col>
          <xdr:colOff>466725</xdr:colOff>
          <xdr:row>16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E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15</xdr:row>
          <xdr:rowOff>38100</xdr:rowOff>
        </xdr:from>
        <xdr:to>
          <xdr:col>13</xdr:col>
          <xdr:colOff>571500</xdr:colOff>
          <xdr:row>16</xdr:row>
          <xdr:rowOff>123825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E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755C4-8FA5-4645-AF12-ED99A0C35EC4}">
  <sheetPr codeName="Feuil15"/>
  <dimension ref="A1:F9"/>
  <sheetViews>
    <sheetView workbookViewId="0">
      <selection activeCell="E2" sqref="E2"/>
    </sheetView>
  </sheetViews>
  <sheetFormatPr baseColWidth="10" defaultRowHeight="15" x14ac:dyDescent="0.25"/>
  <cols>
    <col min="1" max="1" width="59.140625" bestFit="1" customWidth="1"/>
    <col min="2" max="2" width="7.140625" bestFit="1" customWidth="1"/>
    <col min="3" max="3" width="16.28515625" bestFit="1" customWidth="1"/>
    <col min="4" max="4" width="10.42578125" bestFit="1" customWidth="1"/>
    <col min="5" max="5" width="108.42578125" bestFit="1" customWidth="1"/>
  </cols>
  <sheetData>
    <row r="1" spans="1:6" s="89" customFormat="1" x14ac:dyDescent="0.25">
      <c r="A1" s="410" t="s">
        <v>268</v>
      </c>
      <c r="B1" s="410" t="s">
        <v>269</v>
      </c>
      <c r="C1" s="410" t="s">
        <v>270</v>
      </c>
      <c r="D1" s="410" t="s">
        <v>271</v>
      </c>
      <c r="E1" s="410" t="s">
        <v>272</v>
      </c>
      <c r="F1" s="89" t="s">
        <v>273</v>
      </c>
    </row>
    <row r="2" spans="1:6" x14ac:dyDescent="0.25">
      <c r="A2" s="75" t="s">
        <v>274</v>
      </c>
      <c r="B2" s="75"/>
      <c r="C2" s="75"/>
      <c r="D2" s="75"/>
      <c r="E2" s="75"/>
    </row>
    <row r="3" spans="1:6" x14ac:dyDescent="0.25">
      <c r="A3" s="75" t="s">
        <v>274</v>
      </c>
      <c r="B3" s="75">
        <v>0</v>
      </c>
      <c r="C3" s="411">
        <v>45979</v>
      </c>
      <c r="D3" s="412">
        <v>0.65903935185185181</v>
      </c>
      <c r="E3" s="75" t="s">
        <v>275</v>
      </c>
    </row>
    <row r="4" spans="1:6" x14ac:dyDescent="0.25">
      <c r="A4" s="75" t="s">
        <v>276</v>
      </c>
      <c r="B4" s="75">
        <v>0</v>
      </c>
      <c r="C4" s="411">
        <v>45979</v>
      </c>
      <c r="D4" s="412">
        <v>0.65925925925925921</v>
      </c>
      <c r="E4" s="75" t="s">
        <v>277</v>
      </c>
    </row>
    <row r="5" spans="1:6" x14ac:dyDescent="0.25">
      <c r="A5" s="75" t="s">
        <v>278</v>
      </c>
      <c r="B5" s="75">
        <v>0</v>
      </c>
      <c r="C5" s="411">
        <v>45979</v>
      </c>
      <c r="D5" s="412">
        <v>0.65929398148148144</v>
      </c>
      <c r="E5" s="75" t="s">
        <v>279</v>
      </c>
    </row>
    <row r="6" spans="1:6" x14ac:dyDescent="0.25">
      <c r="A6" s="75" t="s">
        <v>280</v>
      </c>
      <c r="B6" s="75">
        <v>0</v>
      </c>
      <c r="C6" s="411">
        <v>45979</v>
      </c>
      <c r="D6" s="412">
        <v>0.65935185185185186</v>
      </c>
      <c r="E6" s="75" t="s">
        <v>281</v>
      </c>
    </row>
    <row r="7" spans="1:6" x14ac:dyDescent="0.25">
      <c r="A7" t="s">
        <v>274</v>
      </c>
      <c r="B7">
        <v>0</v>
      </c>
      <c r="C7" s="408">
        <v>45979</v>
      </c>
      <c r="D7" s="409">
        <v>0.66</v>
      </c>
      <c r="E7" t="s">
        <v>275</v>
      </c>
    </row>
    <row r="8" spans="1:6" x14ac:dyDescent="0.25">
      <c r="A8" t="s">
        <v>276</v>
      </c>
      <c r="B8">
        <v>0</v>
      </c>
      <c r="C8" s="408">
        <v>45979</v>
      </c>
      <c r="D8" s="409">
        <v>0.66003472222222226</v>
      </c>
      <c r="E8" t="s">
        <v>277</v>
      </c>
    </row>
    <row r="9" spans="1:6" x14ac:dyDescent="0.25">
      <c r="A9" t="s">
        <v>278</v>
      </c>
      <c r="B9">
        <v>0</v>
      </c>
      <c r="C9" s="408">
        <v>45979</v>
      </c>
      <c r="D9" s="409">
        <v>0.66005787037037034</v>
      </c>
      <c r="E9" t="s">
        <v>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1E7A2-9310-478B-BA4C-B15F810DF5CD}">
  <sheetPr codeName="Feuil4"/>
  <dimension ref="A1:AE122"/>
  <sheetViews>
    <sheetView topLeftCell="A12" zoomScale="80" zoomScaleNormal="80" workbookViewId="0">
      <selection activeCell="Z14" sqref="Z14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(P1)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28</v>
      </c>
      <c r="H6" s="142"/>
      <c r="I6" s="141">
        <f>IFERROR(COUNTIF(I17:I122,"&gt;="&amp;I15/2),0)</f>
        <v>16</v>
      </c>
      <c r="J6" s="141">
        <f t="shared" ref="J6:X6" si="0">IFERROR(COUNTIF(J17:J122,"&gt;="&amp;J15/2),0)</f>
        <v>16</v>
      </c>
      <c r="K6" s="141">
        <f t="shared" si="0"/>
        <v>16</v>
      </c>
      <c r="L6" s="141">
        <f t="shared" si="0"/>
        <v>16</v>
      </c>
      <c r="M6" s="141">
        <f t="shared" si="0"/>
        <v>16</v>
      </c>
      <c r="N6" s="141">
        <f t="shared" si="0"/>
        <v>16</v>
      </c>
      <c r="O6" s="141">
        <f t="shared" si="0"/>
        <v>16</v>
      </c>
      <c r="P6" s="141">
        <f t="shared" si="0"/>
        <v>11</v>
      </c>
      <c r="Q6" s="141">
        <f t="shared" si="0"/>
        <v>11</v>
      </c>
      <c r="R6" s="141">
        <f t="shared" si="0"/>
        <v>11</v>
      </c>
      <c r="S6" s="141">
        <f t="shared" si="0"/>
        <v>11</v>
      </c>
      <c r="T6" s="141">
        <f t="shared" si="0"/>
        <v>3</v>
      </c>
      <c r="U6" s="141">
        <f t="shared" si="0"/>
        <v>3</v>
      </c>
      <c r="V6" s="141">
        <f t="shared" si="0"/>
        <v>3</v>
      </c>
      <c r="W6" s="141">
        <f t="shared" si="0"/>
        <v>3</v>
      </c>
      <c r="X6" s="141">
        <f t="shared" si="0"/>
        <v>1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21</v>
      </c>
      <c r="H7" s="146"/>
      <c r="I7" s="145">
        <f t="shared" si="1"/>
        <v>33</v>
      </c>
      <c r="J7" s="145">
        <f t="shared" si="1"/>
        <v>33</v>
      </c>
      <c r="K7" s="145">
        <f t="shared" si="1"/>
        <v>33</v>
      </c>
      <c r="L7" s="145">
        <f t="shared" si="1"/>
        <v>33</v>
      </c>
      <c r="M7" s="145">
        <f t="shared" si="1"/>
        <v>33</v>
      </c>
      <c r="N7" s="145">
        <f t="shared" si="1"/>
        <v>33</v>
      </c>
      <c r="O7" s="145">
        <f t="shared" si="1"/>
        <v>33</v>
      </c>
      <c r="P7" s="145">
        <f t="shared" si="1"/>
        <v>38</v>
      </c>
      <c r="Q7" s="145">
        <f t="shared" si="1"/>
        <v>38</v>
      </c>
      <c r="R7" s="145">
        <f t="shared" si="1"/>
        <v>38</v>
      </c>
      <c r="S7" s="145">
        <f t="shared" si="1"/>
        <v>38</v>
      </c>
      <c r="T7" s="145">
        <f t="shared" si="1"/>
        <v>46</v>
      </c>
      <c r="U7" s="145">
        <f t="shared" si="1"/>
        <v>46</v>
      </c>
      <c r="V7" s="145">
        <f t="shared" si="1"/>
        <v>46</v>
      </c>
      <c r="W7" s="145">
        <f t="shared" si="1"/>
        <v>46</v>
      </c>
      <c r="X7" s="145">
        <f t="shared" si="1"/>
        <v>48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0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0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0</v>
      </c>
      <c r="S8" s="145">
        <f t="shared" si="2"/>
        <v>0</v>
      </c>
      <c r="T8" s="145">
        <f t="shared" si="2"/>
        <v>0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352</v>
      </c>
      <c r="K9" s="145">
        <f t="shared" si="3"/>
        <v>0</v>
      </c>
      <c r="L9" s="145">
        <f t="shared" si="3"/>
        <v>750</v>
      </c>
      <c r="M9" s="145">
        <f t="shared" si="3"/>
        <v>750</v>
      </c>
      <c r="N9" s="145">
        <f t="shared" si="3"/>
        <v>750</v>
      </c>
      <c r="O9" s="145">
        <f t="shared" si="3"/>
        <v>750</v>
      </c>
      <c r="P9" s="145">
        <f t="shared" si="3"/>
        <v>750</v>
      </c>
      <c r="Q9" s="145">
        <f t="shared" si="3"/>
        <v>750</v>
      </c>
      <c r="R9" s="145">
        <f t="shared" si="3"/>
        <v>750</v>
      </c>
      <c r="S9" s="145">
        <f t="shared" si="3"/>
        <v>750</v>
      </c>
      <c r="T9" s="145">
        <f t="shared" si="3"/>
        <v>750</v>
      </c>
      <c r="U9" s="145">
        <f t="shared" si="3"/>
        <v>750</v>
      </c>
      <c r="V9" s="145">
        <f t="shared" si="3"/>
        <v>750</v>
      </c>
      <c r="W9" s="145">
        <f t="shared" si="3"/>
        <v>750</v>
      </c>
      <c r="X9" s="145">
        <f t="shared" si="3"/>
        <v>750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57.142857142857139</v>
      </c>
      <c r="H10" s="146"/>
      <c r="I10" s="145">
        <f t="shared" si="4"/>
        <v>32.653061224489797</v>
      </c>
      <c r="J10" s="145">
        <f t="shared" si="4"/>
        <v>32.653061224489797</v>
      </c>
      <c r="K10" s="145">
        <f t="shared" si="4"/>
        <v>32.653061224489797</v>
      </c>
      <c r="L10" s="145">
        <f t="shared" si="4"/>
        <v>32.653061224489797</v>
      </c>
      <c r="M10" s="145">
        <f t="shared" si="4"/>
        <v>32.653061224489797</v>
      </c>
      <c r="N10" s="145">
        <f t="shared" si="4"/>
        <v>32.653061224489797</v>
      </c>
      <c r="O10" s="145">
        <f t="shared" si="4"/>
        <v>32.653061224489797</v>
      </c>
      <c r="P10" s="145">
        <f t="shared" si="4"/>
        <v>22.448979591836736</v>
      </c>
      <c r="Q10" s="145">
        <f t="shared" si="4"/>
        <v>22.448979591836736</v>
      </c>
      <c r="R10" s="145">
        <f t="shared" si="4"/>
        <v>22.448979591836736</v>
      </c>
      <c r="S10" s="145">
        <f t="shared" si="4"/>
        <v>22.448979591836736</v>
      </c>
      <c r="T10" s="145">
        <f t="shared" si="4"/>
        <v>6.1224489795918364</v>
      </c>
      <c r="U10" s="145">
        <f t="shared" si="4"/>
        <v>6.1224489795918364</v>
      </c>
      <c r="V10" s="145">
        <f t="shared" si="4"/>
        <v>6.1224489795918364</v>
      </c>
      <c r="W10" s="145">
        <f t="shared" si="4"/>
        <v>6.1224489795918364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42.857142857142854</v>
      </c>
      <c r="H11" s="146"/>
      <c r="I11" s="145">
        <f t="shared" si="5"/>
        <v>67.346938775510196</v>
      </c>
      <c r="J11" s="145">
        <f t="shared" si="5"/>
        <v>67.346938775510196</v>
      </c>
      <c r="K11" s="145">
        <f t="shared" si="5"/>
        <v>67.346938775510196</v>
      </c>
      <c r="L11" s="145">
        <f t="shared" si="5"/>
        <v>67.346938775510196</v>
      </c>
      <c r="M11" s="145">
        <f t="shared" si="5"/>
        <v>67.346938775510196</v>
      </c>
      <c r="N11" s="145">
        <f t="shared" si="5"/>
        <v>67.346938775510196</v>
      </c>
      <c r="O11" s="145">
        <f t="shared" si="5"/>
        <v>67.346938775510196</v>
      </c>
      <c r="P11" s="145">
        <f t="shared" si="5"/>
        <v>77.551020408163268</v>
      </c>
      <c r="Q11" s="145">
        <f t="shared" si="5"/>
        <v>77.551020408163268</v>
      </c>
      <c r="R11" s="145">
        <f t="shared" si="5"/>
        <v>77.551020408163268</v>
      </c>
      <c r="S11" s="145">
        <f t="shared" si="5"/>
        <v>77.551020408163268</v>
      </c>
      <c r="T11" s="145">
        <f t="shared" si="5"/>
        <v>93.877551020408163</v>
      </c>
      <c r="U11" s="145">
        <f t="shared" si="5"/>
        <v>93.877551020408163</v>
      </c>
      <c r="V11" s="145">
        <f t="shared" si="5"/>
        <v>93.877551020408163</v>
      </c>
      <c r="W11" s="145">
        <f t="shared" si="5"/>
        <v>93.877551020408163</v>
      </c>
      <c r="X11" s="145">
        <f t="shared" si="5"/>
        <v>97.959183673469383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7.1836734693877551</v>
      </c>
      <c r="H12" s="150"/>
      <c r="I12" s="149">
        <f t="shared" si="6"/>
        <v>15.306122448979592</v>
      </c>
      <c r="J12" s="149">
        <f t="shared" si="6"/>
        <v>15.306122448979592</v>
      </c>
      <c r="K12" s="149">
        <f t="shared" si="6"/>
        <v>15.306122448979592</v>
      </c>
      <c r="L12" s="149">
        <f t="shared" si="6"/>
        <v>15.306122448979592</v>
      </c>
      <c r="M12" s="149">
        <f t="shared" si="6"/>
        <v>15.306122448979592</v>
      </c>
      <c r="N12" s="149">
        <f t="shared" si="6"/>
        <v>15.306122448979592</v>
      </c>
      <c r="O12" s="149">
        <f t="shared" si="6"/>
        <v>15.306122448979592</v>
      </c>
      <c r="P12" s="149">
        <f t="shared" si="6"/>
        <v>15.306122448979592</v>
      </c>
      <c r="Q12" s="149">
        <f t="shared" si="6"/>
        <v>15.306122448979592</v>
      </c>
      <c r="R12" s="149">
        <f t="shared" si="6"/>
        <v>15.306122448979592</v>
      </c>
      <c r="S12" s="149">
        <f t="shared" si="6"/>
        <v>15.306122448979592</v>
      </c>
      <c r="T12" s="149">
        <f t="shared" si="6"/>
        <v>15.306122448979592</v>
      </c>
      <c r="U12" s="149">
        <f t="shared" si="6"/>
        <v>15.306122448979592</v>
      </c>
      <c r="V12" s="149">
        <f t="shared" si="6"/>
        <v>15.306122448979592</v>
      </c>
      <c r="W12" s="149">
        <f t="shared" si="6"/>
        <v>15.306122448979592</v>
      </c>
      <c r="X12" s="149">
        <f t="shared" si="6"/>
        <v>15.306122448979592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1.4">
      <c r="A14" s="121"/>
      <c r="B14" s="122" t="s">
        <v>157</v>
      </c>
      <c r="C14" s="123"/>
      <c r="D14" s="259" t="s">
        <v>30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118">
        <f>DashBoard!$AB7</f>
        <v>10</v>
      </c>
      <c r="H15" s="119"/>
      <c r="I15" s="118">
        <f>DashBoard!$AB9</f>
        <v>20</v>
      </c>
      <c r="J15" s="118">
        <f>DashBoard!$AB10</f>
        <v>20</v>
      </c>
      <c r="K15" s="118">
        <f>DashBoard!$AB11</f>
        <v>20</v>
      </c>
      <c r="L15" s="118">
        <f>DashBoard!$AB12</f>
        <v>20</v>
      </c>
      <c r="M15" s="118">
        <f>DashBoard!$AB13</f>
        <v>20</v>
      </c>
      <c r="N15" s="118">
        <f>DashBoard!$AB14</f>
        <v>20</v>
      </c>
      <c r="O15" s="118">
        <f>DashBoard!$AB15</f>
        <v>20</v>
      </c>
      <c r="P15" s="118">
        <f>DashBoard!$AB16</f>
        <v>30</v>
      </c>
      <c r="Q15" s="118">
        <f>DashBoard!$AB17</f>
        <v>30</v>
      </c>
      <c r="R15" s="118">
        <f>DashBoard!$AB18</f>
        <v>30</v>
      </c>
      <c r="S15" s="118">
        <f>DashBoard!$AB19</f>
        <v>30</v>
      </c>
      <c r="T15" s="118">
        <f>DashBoard!$AB20</f>
        <v>40</v>
      </c>
      <c r="U15" s="118">
        <f>DashBoard!$AB21</f>
        <v>40</v>
      </c>
      <c r="V15" s="118">
        <f>DashBoard!$AB22</f>
        <v>40</v>
      </c>
      <c r="W15" s="118">
        <f>DashBoard!$AB23</f>
        <v>40</v>
      </c>
      <c r="X15" s="118">
        <f>DashBoard!$AB24</f>
        <v>100</v>
      </c>
      <c r="Y15" s="120"/>
      <c r="Z15" s="293">
        <f>SUM(G15,I15:Y15)</f>
        <v>530</v>
      </c>
      <c r="AA15" s="297"/>
      <c r="AB15" s="134"/>
      <c r="AC15" s="334"/>
      <c r="AD15" s="318"/>
    </row>
    <row r="16" spans="1:31" ht="15.75" thickBot="1" x14ac:dyDescent="0.3">
      <c r="A16" s="128" t="s">
        <v>172</v>
      </c>
      <c r="B16" s="128" t="s">
        <v>161</v>
      </c>
      <c r="C16" s="128" t="s">
        <v>162</v>
      </c>
      <c r="D16" s="129" t="s">
        <v>163</v>
      </c>
      <c r="E16" s="245"/>
      <c r="F16" s="130">
        <v>1</v>
      </c>
      <c r="G16" s="131">
        <v>2</v>
      </c>
      <c r="H16" s="131">
        <v>3</v>
      </c>
      <c r="I16" s="131">
        <v>4</v>
      </c>
      <c r="J16" s="131">
        <v>5</v>
      </c>
      <c r="K16" s="131">
        <v>6</v>
      </c>
      <c r="L16" s="131">
        <v>7</v>
      </c>
      <c r="M16" s="131">
        <v>8</v>
      </c>
      <c r="N16" s="131">
        <v>9</v>
      </c>
      <c r="O16" s="131">
        <v>10</v>
      </c>
      <c r="P16" s="131">
        <v>11</v>
      </c>
      <c r="Q16" s="131">
        <v>12</v>
      </c>
      <c r="R16" s="131">
        <v>13</v>
      </c>
      <c r="S16" s="131">
        <v>14</v>
      </c>
      <c r="T16" s="131">
        <v>15</v>
      </c>
      <c r="U16" s="131">
        <v>16</v>
      </c>
      <c r="V16" s="131">
        <v>17</v>
      </c>
      <c r="W16" s="131">
        <v>18</v>
      </c>
      <c r="X16" s="131">
        <v>19</v>
      </c>
      <c r="Y16" s="131">
        <v>20</v>
      </c>
      <c r="Z16" s="133"/>
      <c r="AA16" s="133"/>
      <c r="AB16" s="135"/>
      <c r="AC16" s="133"/>
      <c r="AD16" s="319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>
        <v>0</v>
      </c>
      <c r="H17" s="110"/>
      <c r="I17" s="127">
        <v>0</v>
      </c>
      <c r="J17" s="127">
        <v>0</v>
      </c>
      <c r="K17" s="127">
        <v>0</v>
      </c>
      <c r="L17" s="127">
        <v>0</v>
      </c>
      <c r="M17" s="127">
        <v>0</v>
      </c>
      <c r="N17" s="127">
        <v>0</v>
      </c>
      <c r="O17" s="127">
        <v>0</v>
      </c>
      <c r="P17" s="127">
        <v>0</v>
      </c>
      <c r="Q17" s="127">
        <v>0</v>
      </c>
      <c r="R17" s="127">
        <v>0</v>
      </c>
      <c r="S17" s="127">
        <v>0</v>
      </c>
      <c r="T17" s="127">
        <v>0</v>
      </c>
      <c r="U17" s="127">
        <v>0</v>
      </c>
      <c r="V17" s="127">
        <v>0</v>
      </c>
      <c r="W17" s="127">
        <v>0</v>
      </c>
      <c r="X17" s="127">
        <v>0</v>
      </c>
      <c r="Y17" s="110"/>
      <c r="Z17" s="294">
        <f>SUM(G17,I17:X17)</f>
        <v>0</v>
      </c>
      <c r="AA17" s="298">
        <f>(Z17/$Z$15)*100</f>
        <v>0</v>
      </c>
      <c r="AB17" s="301" t="str">
        <f>RANK(AA17,AA$17:AA$122,0) &amp;"/"&amp; COUNTA($B$17:$B$122)</f>
        <v>43/49</v>
      </c>
      <c r="AC17" s="338" t="str">
        <f>IF(AA17&gt;60,"TB","B")</f>
        <v>B</v>
      </c>
      <c r="AD17" s="320" t="str">
        <f>IF(COUNTIF(F17:Y17,"")&gt;3,"Manque " &amp; COUNTIF(F17:Y17,"") - 3 &amp; " Cotes","RAS")</f>
        <v>RAS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>
        <v>0</v>
      </c>
      <c r="H18" s="110"/>
      <c r="I18" s="111">
        <v>0</v>
      </c>
      <c r="J18" s="111">
        <v>0</v>
      </c>
      <c r="K18" s="111">
        <v>0</v>
      </c>
      <c r="L18" s="111">
        <v>0</v>
      </c>
      <c r="M18" s="111">
        <v>0</v>
      </c>
      <c r="N18" s="111">
        <v>0</v>
      </c>
      <c r="O18" s="111">
        <v>0</v>
      </c>
      <c r="P18" s="111">
        <v>0</v>
      </c>
      <c r="Q18" s="111">
        <v>0</v>
      </c>
      <c r="R18" s="111">
        <v>0</v>
      </c>
      <c r="S18" s="111">
        <v>0</v>
      </c>
      <c r="T18" s="111">
        <v>0</v>
      </c>
      <c r="U18" s="111">
        <v>0</v>
      </c>
      <c r="V18" s="111">
        <v>0</v>
      </c>
      <c r="W18" s="111">
        <v>0</v>
      </c>
      <c r="X18" s="111">
        <v>0</v>
      </c>
      <c r="Y18" s="110"/>
      <c r="Z18" s="295">
        <f t="shared" ref="Z18:Z81" si="7">SUM(G18,I18:X18)</f>
        <v>0</v>
      </c>
      <c r="AA18" s="298">
        <f t="shared" ref="AA18:AA32" si="8">(Z18/$Z$15)*100</f>
        <v>0</v>
      </c>
      <c r="AB18" s="301" t="str">
        <f t="shared" ref="AB18:AB81" si="9">RANK(AA18,AA$17:AA$122,0) &amp;"/"&amp; COUNTA($B$17:$B$122)</f>
        <v>43/49</v>
      </c>
      <c r="AC18" s="338" t="str">
        <f t="shared" ref="AC18:AC81" si="10">IF(AA18&gt;60,"TB","B")</f>
        <v>B</v>
      </c>
      <c r="AD18" s="321" t="str">
        <f t="shared" ref="AD18:AD81" si="11">IF(COUNTIF(F18:Y18,"")&gt;3,"Manque " &amp; COUNTIF(F18:Y18,"") - 3 &amp; " Cotes","RAS")</f>
        <v>RAS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>
        <v>0</v>
      </c>
      <c r="H19" s="110"/>
      <c r="I19" s="111">
        <v>0</v>
      </c>
      <c r="J19" s="111">
        <v>0</v>
      </c>
      <c r="K19" s="111">
        <v>0</v>
      </c>
      <c r="L19" s="111">
        <v>0</v>
      </c>
      <c r="M19" s="111">
        <v>0</v>
      </c>
      <c r="N19" s="111">
        <v>0</v>
      </c>
      <c r="O19" s="111">
        <v>0</v>
      </c>
      <c r="P19" s="111">
        <v>0</v>
      </c>
      <c r="Q19" s="111">
        <v>0</v>
      </c>
      <c r="R19" s="111">
        <v>0</v>
      </c>
      <c r="S19" s="111">
        <v>0</v>
      </c>
      <c r="T19" s="111">
        <v>0</v>
      </c>
      <c r="U19" s="111">
        <v>0</v>
      </c>
      <c r="V19" s="111">
        <v>0</v>
      </c>
      <c r="W19" s="111">
        <v>0</v>
      </c>
      <c r="X19" s="111">
        <v>0</v>
      </c>
      <c r="Y19" s="110"/>
      <c r="Z19" s="295">
        <f t="shared" si="7"/>
        <v>0</v>
      </c>
      <c r="AA19" s="298">
        <f t="shared" si="8"/>
        <v>0</v>
      </c>
      <c r="AB19" s="301" t="str">
        <f t="shared" si="9"/>
        <v>43/49</v>
      </c>
      <c r="AC19" s="338" t="str">
        <f t="shared" si="10"/>
        <v>B</v>
      </c>
      <c r="AD19" s="321" t="str">
        <f t="shared" si="11"/>
        <v>RAS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>
        <v>0</v>
      </c>
      <c r="H20" s="110"/>
      <c r="I20" s="111">
        <v>0</v>
      </c>
      <c r="J20" s="111">
        <v>0</v>
      </c>
      <c r="K20" s="111">
        <v>0</v>
      </c>
      <c r="L20" s="111">
        <v>0</v>
      </c>
      <c r="M20" s="111">
        <v>0</v>
      </c>
      <c r="N20" s="111">
        <v>0</v>
      </c>
      <c r="O20" s="111">
        <v>0</v>
      </c>
      <c r="P20" s="111">
        <v>0</v>
      </c>
      <c r="Q20" s="111">
        <v>0</v>
      </c>
      <c r="R20" s="111">
        <v>0</v>
      </c>
      <c r="S20" s="111">
        <v>0</v>
      </c>
      <c r="T20" s="111">
        <v>0</v>
      </c>
      <c r="U20" s="111">
        <v>0</v>
      </c>
      <c r="V20" s="111">
        <v>0</v>
      </c>
      <c r="W20" s="111">
        <v>0</v>
      </c>
      <c r="X20" s="111">
        <v>0</v>
      </c>
      <c r="Y20" s="110"/>
      <c r="Z20" s="295">
        <f t="shared" si="7"/>
        <v>0</v>
      </c>
      <c r="AA20" s="298">
        <f t="shared" si="8"/>
        <v>0</v>
      </c>
      <c r="AB20" s="301" t="str">
        <f t="shared" si="9"/>
        <v>43/49</v>
      </c>
      <c r="AC20" s="338" t="str">
        <f t="shared" si="10"/>
        <v>B</v>
      </c>
      <c r="AD20" s="321" t="str">
        <f t="shared" si="11"/>
        <v>RAS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10</v>
      </c>
      <c r="H21" s="110"/>
      <c r="I21" s="111">
        <v>10</v>
      </c>
      <c r="J21" s="111">
        <v>10</v>
      </c>
      <c r="K21" s="111">
        <v>10</v>
      </c>
      <c r="L21" s="111">
        <v>10</v>
      </c>
      <c r="M21" s="111">
        <v>10</v>
      </c>
      <c r="N21" s="111">
        <v>10</v>
      </c>
      <c r="O21" s="111">
        <v>10</v>
      </c>
      <c r="P21" s="111">
        <v>10</v>
      </c>
      <c r="Q21" s="111">
        <v>10</v>
      </c>
      <c r="R21" s="111">
        <v>10</v>
      </c>
      <c r="S21" s="111">
        <v>10</v>
      </c>
      <c r="T21" s="111">
        <v>10</v>
      </c>
      <c r="U21" s="111">
        <v>10</v>
      </c>
      <c r="V21" s="111">
        <v>10</v>
      </c>
      <c r="W21" s="111">
        <v>10</v>
      </c>
      <c r="X21" s="111">
        <v>10</v>
      </c>
      <c r="Y21" s="110"/>
      <c r="Z21" s="295">
        <f t="shared" si="7"/>
        <v>170</v>
      </c>
      <c r="AA21" s="298">
        <f t="shared" si="8"/>
        <v>32.075471698113205</v>
      </c>
      <c r="AB21" s="301" t="str">
        <f t="shared" si="9"/>
        <v>16/49</v>
      </c>
      <c r="AC21" s="338" t="str">
        <f t="shared" si="10"/>
        <v>B</v>
      </c>
      <c r="AD21" s="321" t="str">
        <f>IF(COUNTIF(F21:Y21,"")&gt;3,"Manque " &amp; COUNTIF(F21:Y21,"") - 3 &amp; " Cotes","RAS")</f>
        <v>RAS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4</v>
      </c>
      <c r="H22" s="110"/>
      <c r="I22" s="111">
        <v>4</v>
      </c>
      <c r="J22" s="111">
        <v>4</v>
      </c>
      <c r="K22" s="111">
        <v>4</v>
      </c>
      <c r="L22" s="111">
        <v>4</v>
      </c>
      <c r="M22" s="111">
        <v>4</v>
      </c>
      <c r="N22" s="111">
        <v>4</v>
      </c>
      <c r="O22" s="111">
        <v>4</v>
      </c>
      <c r="P22" s="111">
        <v>4</v>
      </c>
      <c r="Q22" s="111">
        <v>4</v>
      </c>
      <c r="R22" s="111">
        <v>4</v>
      </c>
      <c r="S22" s="111">
        <v>4</v>
      </c>
      <c r="T22" s="111">
        <v>4</v>
      </c>
      <c r="U22" s="111">
        <v>4</v>
      </c>
      <c r="V22" s="111">
        <v>4</v>
      </c>
      <c r="W22" s="111">
        <v>4</v>
      </c>
      <c r="X22" s="111">
        <v>4</v>
      </c>
      <c r="Y22" s="110"/>
      <c r="Z22" s="295">
        <f t="shared" si="7"/>
        <v>68</v>
      </c>
      <c r="AA22" s="298">
        <f t="shared" si="8"/>
        <v>12.830188679245284</v>
      </c>
      <c r="AB22" s="301" t="str">
        <f t="shared" si="9"/>
        <v>30/49</v>
      </c>
      <c r="AC22" s="338" t="str">
        <f t="shared" si="10"/>
        <v>B</v>
      </c>
      <c r="AD22" s="321" t="str">
        <f t="shared" si="11"/>
        <v>RAS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12</v>
      </c>
      <c r="H23" s="110"/>
      <c r="I23" s="111">
        <v>12</v>
      </c>
      <c r="J23" s="111">
        <v>12</v>
      </c>
      <c r="K23" s="111">
        <v>12</v>
      </c>
      <c r="L23" s="111">
        <v>12</v>
      </c>
      <c r="M23" s="111">
        <v>12</v>
      </c>
      <c r="N23" s="111">
        <v>12</v>
      </c>
      <c r="O23" s="111">
        <v>12</v>
      </c>
      <c r="P23" s="111">
        <v>12</v>
      </c>
      <c r="Q23" s="111">
        <v>12</v>
      </c>
      <c r="R23" s="111">
        <v>12</v>
      </c>
      <c r="S23" s="111">
        <v>12</v>
      </c>
      <c r="T23" s="111">
        <v>12</v>
      </c>
      <c r="U23" s="111">
        <v>12</v>
      </c>
      <c r="V23" s="111">
        <v>12</v>
      </c>
      <c r="W23" s="111">
        <v>12</v>
      </c>
      <c r="X23" s="111">
        <v>12</v>
      </c>
      <c r="Y23" s="110"/>
      <c r="Z23" s="295">
        <f t="shared" si="7"/>
        <v>204</v>
      </c>
      <c r="AA23" s="298">
        <f t="shared" si="8"/>
        <v>38.490566037735853</v>
      </c>
      <c r="AB23" s="301" t="str">
        <f t="shared" si="9"/>
        <v>12/49</v>
      </c>
      <c r="AC23" s="338" t="str">
        <f t="shared" si="10"/>
        <v>B</v>
      </c>
      <c r="AD23" s="321" t="str">
        <f t="shared" si="11"/>
        <v>RAS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19</v>
      </c>
      <c r="H24" s="110"/>
      <c r="I24" s="111">
        <v>19</v>
      </c>
      <c r="J24" s="111">
        <v>19</v>
      </c>
      <c r="K24" s="111">
        <v>19</v>
      </c>
      <c r="L24" s="111">
        <v>19</v>
      </c>
      <c r="M24" s="111">
        <v>19</v>
      </c>
      <c r="N24" s="111">
        <v>19</v>
      </c>
      <c r="O24" s="111">
        <v>19</v>
      </c>
      <c r="P24" s="111">
        <v>19</v>
      </c>
      <c r="Q24" s="111">
        <v>19</v>
      </c>
      <c r="R24" s="111">
        <v>19</v>
      </c>
      <c r="S24" s="111">
        <v>19</v>
      </c>
      <c r="T24" s="111">
        <v>19</v>
      </c>
      <c r="U24" s="111">
        <v>19</v>
      </c>
      <c r="V24" s="111">
        <v>19</v>
      </c>
      <c r="W24" s="111">
        <v>19</v>
      </c>
      <c r="X24" s="111">
        <v>19</v>
      </c>
      <c r="Y24" s="110"/>
      <c r="Z24" s="295">
        <f t="shared" si="7"/>
        <v>323</v>
      </c>
      <c r="AA24" s="298">
        <f t="shared" si="8"/>
        <v>60.943396226415089</v>
      </c>
      <c r="AB24" s="301" t="str">
        <f t="shared" si="9"/>
        <v>4/49</v>
      </c>
      <c r="AC24" s="338" t="str">
        <f t="shared" si="10"/>
        <v>TB</v>
      </c>
      <c r="AD24" s="321" t="str">
        <f t="shared" si="11"/>
        <v>RAS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>
        <v>0</v>
      </c>
      <c r="H25" s="110"/>
      <c r="I25" s="111">
        <v>0</v>
      </c>
      <c r="J25" s="111">
        <v>0</v>
      </c>
      <c r="K25" s="111">
        <v>0</v>
      </c>
      <c r="L25" s="111">
        <v>0</v>
      </c>
      <c r="M25" s="111">
        <v>0</v>
      </c>
      <c r="N25" s="111">
        <v>0</v>
      </c>
      <c r="O25" s="111">
        <v>0</v>
      </c>
      <c r="P25" s="111">
        <v>0</v>
      </c>
      <c r="Q25" s="111">
        <v>0</v>
      </c>
      <c r="R25" s="111">
        <v>0</v>
      </c>
      <c r="S25" s="111">
        <v>0</v>
      </c>
      <c r="T25" s="111">
        <v>0</v>
      </c>
      <c r="U25" s="111">
        <v>0</v>
      </c>
      <c r="V25" s="111">
        <v>0</v>
      </c>
      <c r="W25" s="111">
        <v>0</v>
      </c>
      <c r="X25" s="111">
        <v>0</v>
      </c>
      <c r="Y25" s="110"/>
      <c r="Z25" s="295">
        <f t="shared" si="7"/>
        <v>0</v>
      </c>
      <c r="AA25" s="298">
        <f t="shared" si="8"/>
        <v>0</v>
      </c>
      <c r="AB25" s="301" t="str">
        <f t="shared" si="9"/>
        <v>43/49</v>
      </c>
      <c r="AC25" s="338" t="str">
        <f t="shared" si="10"/>
        <v>B</v>
      </c>
      <c r="AD25" s="321" t="str">
        <f t="shared" si="11"/>
        <v>RAS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15</v>
      </c>
      <c r="H26" s="110"/>
      <c r="I26" s="111">
        <v>15</v>
      </c>
      <c r="J26" s="111">
        <v>15</v>
      </c>
      <c r="K26" s="111">
        <v>15</v>
      </c>
      <c r="L26" s="111">
        <v>15</v>
      </c>
      <c r="M26" s="111">
        <v>15</v>
      </c>
      <c r="N26" s="111">
        <v>15</v>
      </c>
      <c r="O26" s="111">
        <v>15</v>
      </c>
      <c r="P26" s="111">
        <v>15</v>
      </c>
      <c r="Q26" s="111">
        <v>15</v>
      </c>
      <c r="R26" s="111">
        <v>15</v>
      </c>
      <c r="S26" s="111">
        <v>15</v>
      </c>
      <c r="T26" s="111">
        <v>15</v>
      </c>
      <c r="U26" s="111">
        <v>15</v>
      </c>
      <c r="V26" s="111">
        <v>15</v>
      </c>
      <c r="W26" s="111">
        <v>15</v>
      </c>
      <c r="X26" s="111">
        <v>15</v>
      </c>
      <c r="Y26" s="110"/>
      <c r="Z26" s="295">
        <f t="shared" si="7"/>
        <v>255</v>
      </c>
      <c r="AA26" s="298">
        <f t="shared" si="8"/>
        <v>48.113207547169814</v>
      </c>
      <c r="AB26" s="301" t="str">
        <f t="shared" si="9"/>
        <v>9/49</v>
      </c>
      <c r="AC26" s="338" t="str">
        <f t="shared" si="10"/>
        <v>B</v>
      </c>
      <c r="AD26" s="321" t="str">
        <f t="shared" si="11"/>
        <v>RAS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3</v>
      </c>
      <c r="H27" s="110"/>
      <c r="I27" s="111">
        <v>3</v>
      </c>
      <c r="J27" s="111">
        <v>3</v>
      </c>
      <c r="K27" s="111">
        <v>3</v>
      </c>
      <c r="L27" s="111">
        <v>3</v>
      </c>
      <c r="M27" s="111">
        <v>3</v>
      </c>
      <c r="N27" s="111">
        <v>3</v>
      </c>
      <c r="O27" s="111">
        <v>3</v>
      </c>
      <c r="P27" s="111">
        <v>3</v>
      </c>
      <c r="Q27" s="111">
        <v>3</v>
      </c>
      <c r="R27" s="111">
        <v>3</v>
      </c>
      <c r="S27" s="111">
        <v>3</v>
      </c>
      <c r="T27" s="111">
        <v>3</v>
      </c>
      <c r="U27" s="111">
        <v>3</v>
      </c>
      <c r="V27" s="111">
        <v>3</v>
      </c>
      <c r="W27" s="111">
        <v>3</v>
      </c>
      <c r="X27" s="111">
        <v>3</v>
      </c>
      <c r="Y27" s="110"/>
      <c r="Z27" s="295">
        <f t="shared" si="7"/>
        <v>51</v>
      </c>
      <c r="AA27" s="298">
        <f t="shared" si="8"/>
        <v>9.6226415094339632</v>
      </c>
      <c r="AB27" s="301" t="str">
        <f t="shared" si="9"/>
        <v>31/49</v>
      </c>
      <c r="AC27" s="338" t="str">
        <f t="shared" si="10"/>
        <v>B</v>
      </c>
      <c r="AD27" s="321" t="str">
        <f t="shared" si="11"/>
        <v>RAS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>
        <v>0</v>
      </c>
      <c r="H28" s="110"/>
      <c r="I28" s="111">
        <v>0</v>
      </c>
      <c r="J28" s="111">
        <v>0</v>
      </c>
      <c r="K28" s="111">
        <v>0</v>
      </c>
      <c r="L28" s="111">
        <v>0</v>
      </c>
      <c r="M28" s="111">
        <v>0</v>
      </c>
      <c r="N28" s="111">
        <v>0</v>
      </c>
      <c r="O28" s="111">
        <v>0</v>
      </c>
      <c r="P28" s="111">
        <v>0</v>
      </c>
      <c r="Q28" s="111">
        <v>0</v>
      </c>
      <c r="R28" s="111">
        <v>0</v>
      </c>
      <c r="S28" s="111">
        <v>0</v>
      </c>
      <c r="T28" s="111">
        <v>0</v>
      </c>
      <c r="U28" s="111">
        <v>0</v>
      </c>
      <c r="V28" s="111">
        <v>0</v>
      </c>
      <c r="W28" s="111">
        <v>0</v>
      </c>
      <c r="X28" s="111">
        <v>0</v>
      </c>
      <c r="Y28" s="110"/>
      <c r="Z28" s="295">
        <f t="shared" si="7"/>
        <v>0</v>
      </c>
      <c r="AA28" s="298">
        <f t="shared" si="8"/>
        <v>0</v>
      </c>
      <c r="AB28" s="301" t="str">
        <f t="shared" si="9"/>
        <v>43/49</v>
      </c>
      <c r="AC28" s="338" t="str">
        <f t="shared" si="10"/>
        <v>B</v>
      </c>
      <c r="AD28" s="321" t="str">
        <f t="shared" si="11"/>
        <v>RAS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6</v>
      </c>
      <c r="H29" s="110"/>
      <c r="I29" s="111">
        <v>6</v>
      </c>
      <c r="J29" s="111">
        <v>6</v>
      </c>
      <c r="K29" s="111">
        <v>6</v>
      </c>
      <c r="L29" s="111">
        <v>6</v>
      </c>
      <c r="M29" s="111">
        <v>6</v>
      </c>
      <c r="N29" s="111">
        <v>6</v>
      </c>
      <c r="O29" s="111">
        <v>6</v>
      </c>
      <c r="P29" s="111">
        <v>6</v>
      </c>
      <c r="Q29" s="111">
        <v>6</v>
      </c>
      <c r="R29" s="111">
        <v>6</v>
      </c>
      <c r="S29" s="111">
        <v>6</v>
      </c>
      <c r="T29" s="111">
        <v>6</v>
      </c>
      <c r="U29" s="111">
        <v>6</v>
      </c>
      <c r="V29" s="111">
        <v>6</v>
      </c>
      <c r="W29" s="111">
        <v>6</v>
      </c>
      <c r="X29" s="111">
        <v>6</v>
      </c>
      <c r="Y29" s="110"/>
      <c r="Z29" s="295">
        <f t="shared" si="7"/>
        <v>102</v>
      </c>
      <c r="AA29" s="298">
        <f t="shared" si="8"/>
        <v>19.245283018867926</v>
      </c>
      <c r="AB29" s="301" t="str">
        <f t="shared" si="9"/>
        <v>17/49</v>
      </c>
      <c r="AC29" s="338" t="str">
        <f t="shared" si="10"/>
        <v>B</v>
      </c>
      <c r="AD29" s="321" t="str">
        <f t="shared" si="11"/>
        <v>RAS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2</v>
      </c>
      <c r="H30" s="110"/>
      <c r="I30" s="111">
        <v>400</v>
      </c>
      <c r="J30" s="111">
        <v>400</v>
      </c>
      <c r="K30" s="111">
        <v>400</v>
      </c>
      <c r="L30" s="111">
        <v>400</v>
      </c>
      <c r="M30" s="111">
        <v>400</v>
      </c>
      <c r="N30" s="111">
        <v>400</v>
      </c>
      <c r="O30" s="111">
        <v>400</v>
      </c>
      <c r="P30" s="111">
        <v>400</v>
      </c>
      <c r="Q30" s="111">
        <v>400</v>
      </c>
      <c r="R30" s="111">
        <v>400</v>
      </c>
      <c r="S30" s="111">
        <v>400</v>
      </c>
      <c r="T30" s="111">
        <v>400</v>
      </c>
      <c r="U30" s="111">
        <v>400</v>
      </c>
      <c r="V30" s="111">
        <v>400</v>
      </c>
      <c r="W30" s="111">
        <v>400</v>
      </c>
      <c r="X30" s="111">
        <v>400</v>
      </c>
      <c r="Y30" s="110"/>
      <c r="Z30" s="295">
        <f t="shared" si="7"/>
        <v>6402</v>
      </c>
      <c r="AA30" s="298">
        <f t="shared" si="8"/>
        <v>1207.9245283018868</v>
      </c>
      <c r="AB30" s="301" t="str">
        <f t="shared" si="9"/>
        <v>1/49</v>
      </c>
      <c r="AC30" s="338" t="str">
        <f t="shared" si="10"/>
        <v>TB</v>
      </c>
      <c r="AD30" s="321" t="str">
        <f t="shared" si="11"/>
        <v>RAS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2</v>
      </c>
      <c r="H31" s="110"/>
      <c r="I31" s="111">
        <v>2</v>
      </c>
      <c r="J31" s="111">
        <v>2</v>
      </c>
      <c r="K31" s="111">
        <v>2</v>
      </c>
      <c r="L31" s="111">
        <v>2</v>
      </c>
      <c r="M31" s="111">
        <v>2</v>
      </c>
      <c r="N31" s="111">
        <v>2</v>
      </c>
      <c r="O31" s="111">
        <v>2</v>
      </c>
      <c r="P31" s="111">
        <v>2</v>
      </c>
      <c r="Q31" s="111">
        <v>2</v>
      </c>
      <c r="R31" s="111">
        <v>2</v>
      </c>
      <c r="S31" s="111">
        <v>2</v>
      </c>
      <c r="T31" s="111">
        <v>2</v>
      </c>
      <c r="U31" s="111">
        <v>2</v>
      </c>
      <c r="V31" s="111">
        <v>2</v>
      </c>
      <c r="W31" s="111">
        <v>2</v>
      </c>
      <c r="X31" s="111">
        <v>2</v>
      </c>
      <c r="Y31" s="110"/>
      <c r="Z31" s="295">
        <f t="shared" si="7"/>
        <v>34</v>
      </c>
      <c r="AA31" s="298">
        <f t="shared" si="8"/>
        <v>6.4150943396226419</v>
      </c>
      <c r="AB31" s="301" t="str">
        <f t="shared" si="9"/>
        <v>34/49</v>
      </c>
      <c r="AC31" s="338" t="str">
        <f t="shared" si="10"/>
        <v>B</v>
      </c>
      <c r="AD31" s="321" t="str">
        <f t="shared" si="11"/>
        <v>RAS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28</v>
      </c>
      <c r="H32" s="110"/>
      <c r="I32" s="111">
        <v>28</v>
      </c>
      <c r="J32" s="111">
        <v>28</v>
      </c>
      <c r="K32" s="111">
        <v>28</v>
      </c>
      <c r="L32" s="111">
        <v>28</v>
      </c>
      <c r="M32" s="111">
        <v>28</v>
      </c>
      <c r="N32" s="111">
        <v>28</v>
      </c>
      <c r="O32" s="111">
        <v>28</v>
      </c>
      <c r="P32" s="111">
        <v>28</v>
      </c>
      <c r="Q32" s="111">
        <v>28</v>
      </c>
      <c r="R32" s="111">
        <v>28</v>
      </c>
      <c r="S32" s="111">
        <v>28</v>
      </c>
      <c r="T32" s="111">
        <v>28</v>
      </c>
      <c r="U32" s="111">
        <v>28</v>
      </c>
      <c r="V32" s="111">
        <v>28</v>
      </c>
      <c r="W32" s="111">
        <v>28</v>
      </c>
      <c r="X32" s="111">
        <v>28</v>
      </c>
      <c r="Y32" s="110"/>
      <c r="Z32" s="295">
        <f t="shared" si="7"/>
        <v>476</v>
      </c>
      <c r="AA32" s="298">
        <f t="shared" si="8"/>
        <v>89.811320754716988</v>
      </c>
      <c r="AB32" s="301" t="str">
        <f t="shared" si="9"/>
        <v>2/49</v>
      </c>
      <c r="AC32" s="338" t="str">
        <f t="shared" si="10"/>
        <v>TB</v>
      </c>
      <c r="AD32" s="321" t="str">
        <f t="shared" si="11"/>
        <v>RAS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6</v>
      </c>
      <c r="H33" s="110"/>
      <c r="I33" s="111">
        <v>6</v>
      </c>
      <c r="J33" s="111">
        <v>6</v>
      </c>
      <c r="K33" s="111">
        <v>6</v>
      </c>
      <c r="L33" s="111">
        <v>6</v>
      </c>
      <c r="M33" s="111">
        <v>6</v>
      </c>
      <c r="N33" s="111">
        <v>6</v>
      </c>
      <c r="O33" s="111">
        <v>6</v>
      </c>
      <c r="P33" s="111">
        <v>6</v>
      </c>
      <c r="Q33" s="111">
        <v>6</v>
      </c>
      <c r="R33" s="111">
        <v>6</v>
      </c>
      <c r="S33" s="111">
        <v>6</v>
      </c>
      <c r="T33" s="111">
        <v>6</v>
      </c>
      <c r="U33" s="111">
        <v>6</v>
      </c>
      <c r="V33" s="111">
        <v>6</v>
      </c>
      <c r="W33" s="111">
        <v>6</v>
      </c>
      <c r="X33" s="111">
        <v>6</v>
      </c>
      <c r="Y33" s="110"/>
      <c r="Z33" s="295">
        <f t="shared" si="7"/>
        <v>102</v>
      </c>
      <c r="AA33" s="298">
        <f t="shared" ref="AA33:AA96" si="12">(Z33/$Z$15)*100</f>
        <v>19.245283018867926</v>
      </c>
      <c r="AB33" s="301" t="str">
        <f t="shared" si="9"/>
        <v>17/49</v>
      </c>
      <c r="AC33" s="338" t="str">
        <f t="shared" si="10"/>
        <v>B</v>
      </c>
      <c r="AD33" s="321" t="str">
        <f t="shared" si="11"/>
        <v>RAS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>
        <v>0</v>
      </c>
      <c r="H34" s="110"/>
      <c r="I34" s="111">
        <v>0</v>
      </c>
      <c r="J34" s="111">
        <v>0</v>
      </c>
      <c r="K34" s="111">
        <v>0</v>
      </c>
      <c r="L34" s="111">
        <v>0</v>
      </c>
      <c r="M34" s="111">
        <v>0</v>
      </c>
      <c r="N34" s="111">
        <v>0</v>
      </c>
      <c r="O34" s="111">
        <v>0</v>
      </c>
      <c r="P34" s="111">
        <v>0</v>
      </c>
      <c r="Q34" s="111">
        <v>0</v>
      </c>
      <c r="R34" s="111">
        <v>0</v>
      </c>
      <c r="S34" s="111">
        <v>0</v>
      </c>
      <c r="T34" s="111">
        <v>0</v>
      </c>
      <c r="U34" s="111">
        <v>0</v>
      </c>
      <c r="V34" s="111">
        <v>0</v>
      </c>
      <c r="W34" s="111">
        <v>0</v>
      </c>
      <c r="X34" s="111">
        <v>0</v>
      </c>
      <c r="Y34" s="110"/>
      <c r="Z34" s="295">
        <f t="shared" si="7"/>
        <v>0</v>
      </c>
      <c r="AA34" s="298">
        <f t="shared" si="12"/>
        <v>0</v>
      </c>
      <c r="AB34" s="301" t="str">
        <f t="shared" si="9"/>
        <v>43/49</v>
      </c>
      <c r="AC34" s="338" t="str">
        <f t="shared" si="10"/>
        <v>B</v>
      </c>
      <c r="AD34" s="321" t="str">
        <f t="shared" si="11"/>
        <v>RAS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2</v>
      </c>
      <c r="H35" s="110"/>
      <c r="I35" s="111">
        <v>2</v>
      </c>
      <c r="J35" s="111">
        <v>2</v>
      </c>
      <c r="K35" s="111">
        <v>2</v>
      </c>
      <c r="L35" s="111">
        <v>2</v>
      </c>
      <c r="M35" s="111">
        <v>2</v>
      </c>
      <c r="N35" s="111">
        <v>2</v>
      </c>
      <c r="O35" s="111">
        <v>2</v>
      </c>
      <c r="P35" s="111">
        <v>2</v>
      </c>
      <c r="Q35" s="111">
        <v>2</v>
      </c>
      <c r="R35" s="111">
        <v>2</v>
      </c>
      <c r="S35" s="111">
        <v>2</v>
      </c>
      <c r="T35" s="111">
        <v>2</v>
      </c>
      <c r="U35" s="111">
        <v>2</v>
      </c>
      <c r="V35" s="111">
        <v>2</v>
      </c>
      <c r="W35" s="111">
        <v>2</v>
      </c>
      <c r="X35" s="111">
        <v>2</v>
      </c>
      <c r="Y35" s="110"/>
      <c r="Z35" s="295">
        <f t="shared" si="7"/>
        <v>34</v>
      </c>
      <c r="AA35" s="298">
        <f t="shared" si="12"/>
        <v>6.4150943396226419</v>
      </c>
      <c r="AB35" s="301" t="str">
        <f t="shared" si="9"/>
        <v>34/49</v>
      </c>
      <c r="AC35" s="338" t="str">
        <f t="shared" si="10"/>
        <v>B</v>
      </c>
      <c r="AD35" s="321" t="str">
        <f t="shared" si="11"/>
        <v>RAS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18</v>
      </c>
      <c r="H36" s="110"/>
      <c r="I36" s="111">
        <v>18</v>
      </c>
      <c r="J36" s="111">
        <v>18</v>
      </c>
      <c r="K36" s="111">
        <v>18</v>
      </c>
      <c r="L36" s="111">
        <v>18</v>
      </c>
      <c r="M36" s="111">
        <v>18</v>
      </c>
      <c r="N36" s="111">
        <v>18</v>
      </c>
      <c r="O36" s="111">
        <v>18</v>
      </c>
      <c r="P36" s="111">
        <v>18</v>
      </c>
      <c r="Q36" s="111">
        <v>18</v>
      </c>
      <c r="R36" s="111">
        <v>18</v>
      </c>
      <c r="S36" s="111">
        <v>18</v>
      </c>
      <c r="T36" s="111">
        <v>18</v>
      </c>
      <c r="U36" s="111">
        <v>18</v>
      </c>
      <c r="V36" s="111">
        <v>18</v>
      </c>
      <c r="W36" s="111">
        <v>18</v>
      </c>
      <c r="X36" s="111">
        <v>18</v>
      </c>
      <c r="Y36" s="110"/>
      <c r="Z36" s="295">
        <f t="shared" si="7"/>
        <v>306</v>
      </c>
      <c r="AA36" s="298">
        <f t="shared" si="12"/>
        <v>57.735849056603769</v>
      </c>
      <c r="AB36" s="301" t="str">
        <f t="shared" si="9"/>
        <v>7/49</v>
      </c>
      <c r="AC36" s="338" t="str">
        <f t="shared" si="10"/>
        <v>B</v>
      </c>
      <c r="AD36" s="321" t="str">
        <f t="shared" si="11"/>
        <v>RAS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2</v>
      </c>
      <c r="H37" s="110"/>
      <c r="I37" s="111">
        <v>2</v>
      </c>
      <c r="J37" s="111">
        <v>2</v>
      </c>
      <c r="K37" s="111">
        <v>2</v>
      </c>
      <c r="L37" s="111">
        <v>2</v>
      </c>
      <c r="M37" s="111">
        <v>2</v>
      </c>
      <c r="N37" s="111">
        <v>2</v>
      </c>
      <c r="O37" s="111">
        <v>2</v>
      </c>
      <c r="P37" s="111">
        <v>2</v>
      </c>
      <c r="Q37" s="111">
        <v>2</v>
      </c>
      <c r="R37" s="111">
        <v>2</v>
      </c>
      <c r="S37" s="111">
        <v>2</v>
      </c>
      <c r="T37" s="111">
        <v>2</v>
      </c>
      <c r="U37" s="111">
        <v>2</v>
      </c>
      <c r="V37" s="111">
        <v>2</v>
      </c>
      <c r="W37" s="111">
        <v>2</v>
      </c>
      <c r="X37" s="111">
        <v>2</v>
      </c>
      <c r="Y37" s="110"/>
      <c r="Z37" s="295">
        <f t="shared" si="7"/>
        <v>34</v>
      </c>
      <c r="AA37" s="298">
        <f t="shared" si="12"/>
        <v>6.4150943396226419</v>
      </c>
      <c r="AB37" s="301" t="str">
        <f t="shared" si="9"/>
        <v>34/49</v>
      </c>
      <c r="AC37" s="338" t="str">
        <f t="shared" si="10"/>
        <v>B</v>
      </c>
      <c r="AD37" s="321" t="str">
        <f t="shared" si="11"/>
        <v>RAS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6</v>
      </c>
      <c r="H38" s="110"/>
      <c r="I38" s="111">
        <v>6</v>
      </c>
      <c r="J38" s="111">
        <v>6</v>
      </c>
      <c r="K38" s="111">
        <v>6</v>
      </c>
      <c r="L38" s="111">
        <v>6</v>
      </c>
      <c r="M38" s="111">
        <v>6</v>
      </c>
      <c r="N38" s="111">
        <v>6</v>
      </c>
      <c r="O38" s="111">
        <v>6</v>
      </c>
      <c r="P38" s="111">
        <v>6</v>
      </c>
      <c r="Q38" s="111">
        <v>6</v>
      </c>
      <c r="R38" s="111">
        <v>6</v>
      </c>
      <c r="S38" s="111">
        <v>6</v>
      </c>
      <c r="T38" s="111">
        <v>6</v>
      </c>
      <c r="U38" s="111">
        <v>6</v>
      </c>
      <c r="V38" s="111">
        <v>6</v>
      </c>
      <c r="W38" s="111">
        <v>6</v>
      </c>
      <c r="X38" s="111">
        <v>6</v>
      </c>
      <c r="Y38" s="110"/>
      <c r="Z38" s="295">
        <f t="shared" si="7"/>
        <v>102</v>
      </c>
      <c r="AA38" s="298">
        <f t="shared" si="12"/>
        <v>19.245283018867926</v>
      </c>
      <c r="AB38" s="301" t="str">
        <f t="shared" si="9"/>
        <v>17/49</v>
      </c>
      <c r="AC38" s="338" t="str">
        <f t="shared" si="10"/>
        <v>B</v>
      </c>
      <c r="AD38" s="321" t="str">
        <f t="shared" si="11"/>
        <v>RAS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6</v>
      </c>
      <c r="H39" s="110"/>
      <c r="I39" s="111">
        <v>6</v>
      </c>
      <c r="J39" s="111">
        <v>6</v>
      </c>
      <c r="K39" s="111">
        <v>6</v>
      </c>
      <c r="L39" s="111">
        <v>6</v>
      </c>
      <c r="M39" s="111">
        <v>6</v>
      </c>
      <c r="N39" s="111">
        <v>6</v>
      </c>
      <c r="O39" s="111">
        <v>6</v>
      </c>
      <c r="P39" s="111">
        <v>6</v>
      </c>
      <c r="Q39" s="111">
        <v>6</v>
      </c>
      <c r="R39" s="111">
        <v>6</v>
      </c>
      <c r="S39" s="111">
        <v>6</v>
      </c>
      <c r="T39" s="111">
        <v>6</v>
      </c>
      <c r="U39" s="111">
        <v>6</v>
      </c>
      <c r="V39" s="111">
        <v>6</v>
      </c>
      <c r="W39" s="111">
        <v>6</v>
      </c>
      <c r="X39" s="111">
        <v>6</v>
      </c>
      <c r="Y39" s="110"/>
      <c r="Z39" s="295">
        <f t="shared" si="7"/>
        <v>102</v>
      </c>
      <c r="AA39" s="298">
        <f t="shared" si="12"/>
        <v>19.245283018867926</v>
      </c>
      <c r="AB39" s="301" t="str">
        <f t="shared" si="9"/>
        <v>17/49</v>
      </c>
      <c r="AC39" s="338" t="str">
        <f t="shared" si="10"/>
        <v>B</v>
      </c>
      <c r="AD39" s="321" t="str">
        <f t="shared" si="11"/>
        <v>RAS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19</v>
      </c>
      <c r="H40" s="110"/>
      <c r="I40" s="111">
        <v>19</v>
      </c>
      <c r="J40" s="111">
        <v>19</v>
      </c>
      <c r="K40" s="111">
        <v>19</v>
      </c>
      <c r="L40" s="111">
        <v>19</v>
      </c>
      <c r="M40" s="111">
        <v>19</v>
      </c>
      <c r="N40" s="111">
        <v>19</v>
      </c>
      <c r="O40" s="111">
        <v>19</v>
      </c>
      <c r="P40" s="111">
        <v>19</v>
      </c>
      <c r="Q40" s="111">
        <v>19</v>
      </c>
      <c r="R40" s="111">
        <v>19</v>
      </c>
      <c r="S40" s="111">
        <v>19</v>
      </c>
      <c r="T40" s="111">
        <v>19</v>
      </c>
      <c r="U40" s="111">
        <v>19</v>
      </c>
      <c r="V40" s="111">
        <v>19</v>
      </c>
      <c r="W40" s="111">
        <v>19</v>
      </c>
      <c r="X40" s="111">
        <v>19</v>
      </c>
      <c r="Y40" s="110"/>
      <c r="Z40" s="295">
        <f t="shared" si="7"/>
        <v>323</v>
      </c>
      <c r="AA40" s="298">
        <f t="shared" si="12"/>
        <v>60.943396226415089</v>
      </c>
      <c r="AB40" s="301" t="str">
        <f t="shared" si="9"/>
        <v>4/49</v>
      </c>
      <c r="AC40" s="338" t="str">
        <f t="shared" si="10"/>
        <v>TB</v>
      </c>
      <c r="AD40" s="321" t="str">
        <f t="shared" si="11"/>
        <v>RAS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2</v>
      </c>
      <c r="H41" s="110"/>
      <c r="I41" s="111">
        <v>2</v>
      </c>
      <c r="J41" s="111">
        <v>2</v>
      </c>
      <c r="K41" s="111">
        <v>2</v>
      </c>
      <c r="L41" s="111">
        <v>2</v>
      </c>
      <c r="M41" s="111">
        <v>2</v>
      </c>
      <c r="N41" s="111">
        <v>2</v>
      </c>
      <c r="O41" s="111">
        <v>2</v>
      </c>
      <c r="P41" s="111">
        <v>2</v>
      </c>
      <c r="Q41" s="111">
        <v>2</v>
      </c>
      <c r="R41" s="111">
        <v>2</v>
      </c>
      <c r="S41" s="111">
        <v>2</v>
      </c>
      <c r="T41" s="111">
        <v>2</v>
      </c>
      <c r="U41" s="111">
        <v>2</v>
      </c>
      <c r="V41" s="111">
        <v>2</v>
      </c>
      <c r="W41" s="111">
        <v>2</v>
      </c>
      <c r="X41" s="111">
        <v>2</v>
      </c>
      <c r="Y41" s="110"/>
      <c r="Z41" s="295">
        <f t="shared" si="7"/>
        <v>34</v>
      </c>
      <c r="AA41" s="298">
        <f t="shared" si="12"/>
        <v>6.4150943396226419</v>
      </c>
      <c r="AB41" s="301" t="str">
        <f t="shared" si="9"/>
        <v>34/49</v>
      </c>
      <c r="AC41" s="338" t="str">
        <f t="shared" si="10"/>
        <v>B</v>
      </c>
      <c r="AD41" s="321" t="str">
        <f t="shared" si="11"/>
        <v>RAS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15</v>
      </c>
      <c r="H42" s="110"/>
      <c r="I42" s="111">
        <v>15</v>
      </c>
      <c r="J42" s="111">
        <v>15</v>
      </c>
      <c r="K42" s="111">
        <v>15</v>
      </c>
      <c r="L42" s="111">
        <v>15</v>
      </c>
      <c r="M42" s="111">
        <v>15</v>
      </c>
      <c r="N42" s="111">
        <v>15</v>
      </c>
      <c r="O42" s="111">
        <v>15</v>
      </c>
      <c r="P42" s="111">
        <v>15</v>
      </c>
      <c r="Q42" s="111">
        <v>15</v>
      </c>
      <c r="R42" s="111">
        <v>15</v>
      </c>
      <c r="S42" s="111">
        <v>15</v>
      </c>
      <c r="T42" s="111">
        <v>15</v>
      </c>
      <c r="U42" s="111">
        <v>15</v>
      </c>
      <c r="V42" s="111">
        <v>15</v>
      </c>
      <c r="W42" s="111">
        <v>15</v>
      </c>
      <c r="X42" s="111">
        <v>15</v>
      </c>
      <c r="Y42" s="110"/>
      <c r="Z42" s="295">
        <f t="shared" si="7"/>
        <v>255</v>
      </c>
      <c r="AA42" s="298">
        <f t="shared" si="12"/>
        <v>48.113207547169814</v>
      </c>
      <c r="AB42" s="301" t="str">
        <f t="shared" si="9"/>
        <v>9/49</v>
      </c>
      <c r="AC42" s="338" t="str">
        <f t="shared" si="10"/>
        <v>B</v>
      </c>
      <c r="AD42" s="321" t="str">
        <f t="shared" si="11"/>
        <v>RAS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2</v>
      </c>
      <c r="H43" s="110"/>
      <c r="I43" s="111">
        <v>2</v>
      </c>
      <c r="J43" s="111">
        <v>2</v>
      </c>
      <c r="K43" s="111">
        <v>2</v>
      </c>
      <c r="L43" s="111">
        <v>2</v>
      </c>
      <c r="M43" s="111">
        <v>2</v>
      </c>
      <c r="N43" s="111">
        <v>2</v>
      </c>
      <c r="O43" s="111">
        <v>2</v>
      </c>
      <c r="P43" s="111">
        <v>2</v>
      </c>
      <c r="Q43" s="111">
        <v>2</v>
      </c>
      <c r="R43" s="111">
        <v>2</v>
      </c>
      <c r="S43" s="111">
        <v>2</v>
      </c>
      <c r="T43" s="111">
        <v>2</v>
      </c>
      <c r="U43" s="111">
        <v>2</v>
      </c>
      <c r="V43" s="111">
        <v>2</v>
      </c>
      <c r="W43" s="111">
        <v>2</v>
      </c>
      <c r="X43" s="111">
        <v>2</v>
      </c>
      <c r="Y43" s="110"/>
      <c r="Z43" s="295">
        <f t="shared" si="7"/>
        <v>34</v>
      </c>
      <c r="AA43" s="298">
        <f t="shared" si="12"/>
        <v>6.4150943396226419</v>
      </c>
      <c r="AB43" s="301" t="str">
        <f t="shared" si="9"/>
        <v>34/49</v>
      </c>
      <c r="AC43" s="338" t="str">
        <f t="shared" si="10"/>
        <v>B</v>
      </c>
      <c r="AD43" s="321" t="str">
        <f t="shared" si="11"/>
        <v>RAS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6</v>
      </c>
      <c r="H44" s="110"/>
      <c r="I44" s="111">
        <v>6</v>
      </c>
      <c r="J44" s="111">
        <v>6</v>
      </c>
      <c r="K44" s="111">
        <v>6</v>
      </c>
      <c r="L44" s="111">
        <v>6</v>
      </c>
      <c r="M44" s="111">
        <v>6</v>
      </c>
      <c r="N44" s="111">
        <v>6</v>
      </c>
      <c r="O44" s="111">
        <v>6</v>
      </c>
      <c r="P44" s="111">
        <v>6</v>
      </c>
      <c r="Q44" s="111">
        <v>6</v>
      </c>
      <c r="R44" s="111">
        <v>6</v>
      </c>
      <c r="S44" s="111">
        <v>6</v>
      </c>
      <c r="T44" s="111">
        <v>6</v>
      </c>
      <c r="U44" s="111">
        <v>6</v>
      </c>
      <c r="V44" s="111">
        <v>6</v>
      </c>
      <c r="W44" s="111">
        <v>6</v>
      </c>
      <c r="X44" s="111">
        <v>6</v>
      </c>
      <c r="Y44" s="110"/>
      <c r="Z44" s="295">
        <f t="shared" si="7"/>
        <v>102</v>
      </c>
      <c r="AA44" s="298">
        <f t="shared" si="12"/>
        <v>19.245283018867926</v>
      </c>
      <c r="AB44" s="301" t="str">
        <f t="shared" si="9"/>
        <v>17/49</v>
      </c>
      <c r="AC44" s="338" t="str">
        <f t="shared" si="10"/>
        <v>B</v>
      </c>
      <c r="AD44" s="321" t="str">
        <f t="shared" si="11"/>
        <v>RAS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11</v>
      </c>
      <c r="H45" s="110"/>
      <c r="I45" s="111">
        <v>11</v>
      </c>
      <c r="J45" s="111">
        <v>11</v>
      </c>
      <c r="K45" s="111">
        <v>11</v>
      </c>
      <c r="L45" s="111">
        <v>11</v>
      </c>
      <c r="M45" s="111">
        <v>11</v>
      </c>
      <c r="N45" s="111">
        <v>11</v>
      </c>
      <c r="O45" s="111">
        <v>11</v>
      </c>
      <c r="P45" s="111">
        <v>11</v>
      </c>
      <c r="Q45" s="111">
        <v>11</v>
      </c>
      <c r="R45" s="111">
        <v>11</v>
      </c>
      <c r="S45" s="111">
        <v>11</v>
      </c>
      <c r="T45" s="111">
        <v>11</v>
      </c>
      <c r="U45" s="111">
        <v>11</v>
      </c>
      <c r="V45" s="111">
        <v>11</v>
      </c>
      <c r="W45" s="111">
        <v>11</v>
      </c>
      <c r="X45" s="111">
        <v>11</v>
      </c>
      <c r="Y45" s="110"/>
      <c r="Z45" s="295">
        <f t="shared" si="7"/>
        <v>187</v>
      </c>
      <c r="AA45" s="298">
        <f t="shared" si="12"/>
        <v>35.283018867924525</v>
      </c>
      <c r="AB45" s="301" t="str">
        <f t="shared" si="9"/>
        <v>14/49</v>
      </c>
      <c r="AC45" s="338" t="str">
        <f t="shared" si="10"/>
        <v>B</v>
      </c>
      <c r="AD45" s="321" t="str">
        <f t="shared" si="11"/>
        <v>RAS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11</v>
      </c>
      <c r="H46" s="110"/>
      <c r="I46" s="111">
        <v>11</v>
      </c>
      <c r="J46" s="111">
        <v>11</v>
      </c>
      <c r="K46" s="111">
        <v>11</v>
      </c>
      <c r="L46" s="111">
        <v>11</v>
      </c>
      <c r="M46" s="111">
        <v>11</v>
      </c>
      <c r="N46" s="111">
        <v>11</v>
      </c>
      <c r="O46" s="111">
        <v>11</v>
      </c>
      <c r="P46" s="111">
        <v>11</v>
      </c>
      <c r="Q46" s="111">
        <v>11</v>
      </c>
      <c r="R46" s="111">
        <v>11</v>
      </c>
      <c r="S46" s="111">
        <v>11</v>
      </c>
      <c r="T46" s="111">
        <v>11</v>
      </c>
      <c r="U46" s="111">
        <v>11</v>
      </c>
      <c r="V46" s="111">
        <v>11</v>
      </c>
      <c r="W46" s="111">
        <v>11</v>
      </c>
      <c r="X46" s="111">
        <v>11</v>
      </c>
      <c r="Y46" s="110"/>
      <c r="Z46" s="295">
        <f t="shared" si="7"/>
        <v>187</v>
      </c>
      <c r="AA46" s="298">
        <f t="shared" si="12"/>
        <v>35.283018867924525</v>
      </c>
      <c r="AB46" s="301" t="str">
        <f t="shared" si="9"/>
        <v>14/49</v>
      </c>
      <c r="AC46" s="338" t="str">
        <f t="shared" si="10"/>
        <v>B</v>
      </c>
      <c r="AD46" s="321" t="str">
        <f t="shared" si="11"/>
        <v>RAS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2</v>
      </c>
      <c r="H47" s="110"/>
      <c r="I47" s="111">
        <v>2</v>
      </c>
      <c r="J47" s="111">
        <v>2</v>
      </c>
      <c r="K47" s="111">
        <v>2</v>
      </c>
      <c r="L47" s="111">
        <v>2</v>
      </c>
      <c r="M47" s="111">
        <v>2</v>
      </c>
      <c r="N47" s="111">
        <v>2</v>
      </c>
      <c r="O47" s="111">
        <v>2</v>
      </c>
      <c r="P47" s="111">
        <v>2</v>
      </c>
      <c r="Q47" s="111">
        <v>2</v>
      </c>
      <c r="R47" s="111">
        <v>2</v>
      </c>
      <c r="S47" s="111">
        <v>2</v>
      </c>
      <c r="T47" s="111">
        <v>2</v>
      </c>
      <c r="U47" s="111">
        <v>2</v>
      </c>
      <c r="V47" s="111">
        <v>2</v>
      </c>
      <c r="W47" s="111">
        <v>2</v>
      </c>
      <c r="X47" s="111">
        <v>2</v>
      </c>
      <c r="Y47" s="110"/>
      <c r="Z47" s="295">
        <f t="shared" si="7"/>
        <v>34</v>
      </c>
      <c r="AA47" s="298">
        <f t="shared" si="12"/>
        <v>6.4150943396226419</v>
      </c>
      <c r="AB47" s="301" t="str">
        <f t="shared" si="9"/>
        <v>34/49</v>
      </c>
      <c r="AC47" s="338" t="str">
        <f t="shared" si="10"/>
        <v>B</v>
      </c>
      <c r="AD47" s="321" t="str">
        <f t="shared" si="11"/>
        <v>RAS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2</v>
      </c>
      <c r="H48" s="110"/>
      <c r="I48" s="111">
        <v>2</v>
      </c>
      <c r="J48" s="111">
        <v>2</v>
      </c>
      <c r="K48" s="111">
        <v>2</v>
      </c>
      <c r="L48" s="111">
        <v>2</v>
      </c>
      <c r="M48" s="111">
        <v>2</v>
      </c>
      <c r="N48" s="111">
        <v>2</v>
      </c>
      <c r="O48" s="111">
        <v>2</v>
      </c>
      <c r="P48" s="111">
        <v>2</v>
      </c>
      <c r="Q48" s="111">
        <v>2</v>
      </c>
      <c r="R48" s="111">
        <v>2</v>
      </c>
      <c r="S48" s="111">
        <v>2</v>
      </c>
      <c r="T48" s="111">
        <v>2</v>
      </c>
      <c r="U48" s="111">
        <v>2</v>
      </c>
      <c r="V48" s="111">
        <v>2</v>
      </c>
      <c r="W48" s="111">
        <v>2</v>
      </c>
      <c r="X48" s="111">
        <v>2</v>
      </c>
      <c r="Y48" s="110"/>
      <c r="Z48" s="295">
        <f t="shared" si="7"/>
        <v>34</v>
      </c>
      <c r="AA48" s="298">
        <f t="shared" si="12"/>
        <v>6.4150943396226419</v>
      </c>
      <c r="AB48" s="301" t="str">
        <f t="shared" si="9"/>
        <v>34/49</v>
      </c>
      <c r="AC48" s="338" t="str">
        <f t="shared" si="10"/>
        <v>B</v>
      </c>
      <c r="AD48" s="321" t="str">
        <f t="shared" si="11"/>
        <v>RAS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6</v>
      </c>
      <c r="H49" s="110"/>
      <c r="I49" s="111">
        <v>6</v>
      </c>
      <c r="J49" s="111">
        <v>6</v>
      </c>
      <c r="K49" s="111">
        <v>6</v>
      </c>
      <c r="L49" s="111">
        <v>6</v>
      </c>
      <c r="M49" s="111">
        <v>6</v>
      </c>
      <c r="N49" s="111">
        <v>6</v>
      </c>
      <c r="O49" s="111">
        <v>6</v>
      </c>
      <c r="P49" s="111">
        <v>6</v>
      </c>
      <c r="Q49" s="111">
        <v>6</v>
      </c>
      <c r="R49" s="111">
        <v>6</v>
      </c>
      <c r="S49" s="111">
        <v>6</v>
      </c>
      <c r="T49" s="111">
        <v>6</v>
      </c>
      <c r="U49" s="111">
        <v>6</v>
      </c>
      <c r="V49" s="111">
        <v>6</v>
      </c>
      <c r="W49" s="111">
        <v>6</v>
      </c>
      <c r="X49" s="111">
        <v>6</v>
      </c>
      <c r="Y49" s="110"/>
      <c r="Z49" s="295">
        <f t="shared" si="7"/>
        <v>102</v>
      </c>
      <c r="AA49" s="298">
        <f t="shared" si="12"/>
        <v>19.245283018867926</v>
      </c>
      <c r="AB49" s="301" t="str">
        <f t="shared" si="9"/>
        <v>17/49</v>
      </c>
      <c r="AC49" s="338" t="str">
        <f t="shared" si="10"/>
        <v>B</v>
      </c>
      <c r="AD49" s="321" t="str">
        <f t="shared" si="11"/>
        <v>RAS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20</v>
      </c>
      <c r="H50" s="110"/>
      <c r="I50" s="111">
        <v>20</v>
      </c>
      <c r="J50" s="111">
        <v>20</v>
      </c>
      <c r="K50" s="111">
        <v>20</v>
      </c>
      <c r="L50" s="111">
        <v>20</v>
      </c>
      <c r="M50" s="111">
        <v>20</v>
      </c>
      <c r="N50" s="111">
        <v>20</v>
      </c>
      <c r="O50" s="111">
        <v>20</v>
      </c>
      <c r="P50" s="111">
        <v>20</v>
      </c>
      <c r="Q50" s="111">
        <v>20</v>
      </c>
      <c r="R50" s="111">
        <v>20</v>
      </c>
      <c r="S50" s="111">
        <v>20</v>
      </c>
      <c r="T50" s="111">
        <v>20</v>
      </c>
      <c r="U50" s="111">
        <v>20</v>
      </c>
      <c r="V50" s="111">
        <v>20</v>
      </c>
      <c r="W50" s="111">
        <v>20</v>
      </c>
      <c r="X50" s="111">
        <v>20</v>
      </c>
      <c r="Y50" s="110"/>
      <c r="Z50" s="295">
        <f t="shared" si="7"/>
        <v>340</v>
      </c>
      <c r="AA50" s="298">
        <f t="shared" si="12"/>
        <v>64.15094339622641</v>
      </c>
      <c r="AB50" s="301" t="str">
        <f t="shared" si="9"/>
        <v>3/49</v>
      </c>
      <c r="AC50" s="338" t="str">
        <f t="shared" si="10"/>
        <v>TB</v>
      </c>
      <c r="AD50" s="321" t="str">
        <f t="shared" si="11"/>
        <v>RAS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6</v>
      </c>
      <c r="H51" s="110"/>
      <c r="I51" s="111">
        <v>6</v>
      </c>
      <c r="J51" s="111">
        <v>6</v>
      </c>
      <c r="K51" s="111">
        <v>6</v>
      </c>
      <c r="L51" s="111">
        <v>6</v>
      </c>
      <c r="M51" s="111">
        <v>6</v>
      </c>
      <c r="N51" s="111">
        <v>6</v>
      </c>
      <c r="O51" s="111">
        <v>6</v>
      </c>
      <c r="P51" s="111">
        <v>6</v>
      </c>
      <c r="Q51" s="111">
        <v>6</v>
      </c>
      <c r="R51" s="111">
        <v>6</v>
      </c>
      <c r="S51" s="111">
        <v>6</v>
      </c>
      <c r="T51" s="111">
        <v>6</v>
      </c>
      <c r="U51" s="111">
        <v>6</v>
      </c>
      <c r="V51" s="111">
        <v>6</v>
      </c>
      <c r="W51" s="111">
        <v>6</v>
      </c>
      <c r="X51" s="111">
        <v>6</v>
      </c>
      <c r="Y51" s="110"/>
      <c r="Z51" s="295">
        <f t="shared" si="7"/>
        <v>102</v>
      </c>
      <c r="AA51" s="298">
        <f t="shared" si="12"/>
        <v>19.245283018867926</v>
      </c>
      <c r="AB51" s="301" t="str">
        <f t="shared" si="9"/>
        <v>17/49</v>
      </c>
      <c r="AC51" s="338" t="str">
        <f t="shared" si="10"/>
        <v>B</v>
      </c>
      <c r="AD51" s="321" t="str">
        <f t="shared" si="11"/>
        <v>RAS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6</v>
      </c>
      <c r="H52" s="110"/>
      <c r="I52" s="111">
        <v>6</v>
      </c>
      <c r="J52" s="111">
        <v>6</v>
      </c>
      <c r="K52" s="111">
        <v>6</v>
      </c>
      <c r="L52" s="111">
        <v>6</v>
      </c>
      <c r="M52" s="111">
        <v>6</v>
      </c>
      <c r="N52" s="111">
        <v>6</v>
      </c>
      <c r="O52" s="111">
        <v>6</v>
      </c>
      <c r="P52" s="111">
        <v>6</v>
      </c>
      <c r="Q52" s="111">
        <v>6</v>
      </c>
      <c r="R52" s="111">
        <v>6</v>
      </c>
      <c r="S52" s="111">
        <v>6</v>
      </c>
      <c r="T52" s="111">
        <v>6</v>
      </c>
      <c r="U52" s="111">
        <v>6</v>
      </c>
      <c r="V52" s="111">
        <v>6</v>
      </c>
      <c r="W52" s="111">
        <v>6</v>
      </c>
      <c r="X52" s="111">
        <v>6</v>
      </c>
      <c r="Y52" s="110"/>
      <c r="Z52" s="295">
        <f t="shared" si="7"/>
        <v>102</v>
      </c>
      <c r="AA52" s="298">
        <f t="shared" si="12"/>
        <v>19.245283018867926</v>
      </c>
      <c r="AB52" s="301" t="str">
        <f t="shared" si="9"/>
        <v>17/49</v>
      </c>
      <c r="AC52" s="338" t="str">
        <f t="shared" si="10"/>
        <v>B</v>
      </c>
      <c r="AD52" s="321" t="str">
        <f t="shared" si="11"/>
        <v>RAS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15</v>
      </c>
      <c r="H53" s="110"/>
      <c r="I53" s="111">
        <v>15</v>
      </c>
      <c r="J53" s="111">
        <v>15</v>
      </c>
      <c r="K53" s="111">
        <v>15</v>
      </c>
      <c r="L53" s="111">
        <v>15</v>
      </c>
      <c r="M53" s="111">
        <v>15</v>
      </c>
      <c r="N53" s="111">
        <v>15</v>
      </c>
      <c r="O53" s="111">
        <v>15</v>
      </c>
      <c r="P53" s="111">
        <v>15</v>
      </c>
      <c r="Q53" s="111">
        <v>15</v>
      </c>
      <c r="R53" s="111">
        <v>15</v>
      </c>
      <c r="S53" s="111">
        <v>15</v>
      </c>
      <c r="T53" s="111">
        <v>15</v>
      </c>
      <c r="U53" s="111">
        <v>15</v>
      </c>
      <c r="V53" s="111">
        <v>15</v>
      </c>
      <c r="W53" s="111">
        <v>15</v>
      </c>
      <c r="X53" s="111">
        <v>15</v>
      </c>
      <c r="Y53" s="110"/>
      <c r="Z53" s="295">
        <f t="shared" si="7"/>
        <v>255</v>
      </c>
      <c r="AA53" s="298">
        <f t="shared" si="12"/>
        <v>48.113207547169814</v>
      </c>
      <c r="AB53" s="301" t="str">
        <f t="shared" si="9"/>
        <v>9/49</v>
      </c>
      <c r="AC53" s="338" t="str">
        <f t="shared" si="10"/>
        <v>B</v>
      </c>
      <c r="AD53" s="321" t="str">
        <f t="shared" si="11"/>
        <v>RAS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6</v>
      </c>
      <c r="H54" s="110"/>
      <c r="I54" s="111">
        <v>6</v>
      </c>
      <c r="J54" s="111">
        <v>6</v>
      </c>
      <c r="K54" s="111">
        <v>6</v>
      </c>
      <c r="L54" s="111">
        <v>6</v>
      </c>
      <c r="M54" s="111">
        <v>6</v>
      </c>
      <c r="N54" s="111">
        <v>6</v>
      </c>
      <c r="O54" s="111">
        <v>6</v>
      </c>
      <c r="P54" s="111">
        <v>6</v>
      </c>
      <c r="Q54" s="111">
        <v>6</v>
      </c>
      <c r="R54" s="111">
        <v>6</v>
      </c>
      <c r="S54" s="111">
        <v>6</v>
      </c>
      <c r="T54" s="111">
        <v>6</v>
      </c>
      <c r="U54" s="111">
        <v>6</v>
      </c>
      <c r="V54" s="111">
        <v>6</v>
      </c>
      <c r="W54" s="111">
        <v>6</v>
      </c>
      <c r="X54" s="111">
        <v>6</v>
      </c>
      <c r="Y54" s="110"/>
      <c r="Z54" s="295">
        <f t="shared" si="7"/>
        <v>102</v>
      </c>
      <c r="AA54" s="298">
        <f t="shared" si="12"/>
        <v>19.245283018867926</v>
      </c>
      <c r="AB54" s="301" t="str">
        <f t="shared" si="9"/>
        <v>17/49</v>
      </c>
      <c r="AC54" s="338" t="str">
        <f t="shared" si="10"/>
        <v>B</v>
      </c>
      <c r="AD54" s="321" t="str">
        <f t="shared" si="11"/>
        <v>RAS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6</v>
      </c>
      <c r="H55" s="110"/>
      <c r="I55" s="111">
        <v>6</v>
      </c>
      <c r="J55" s="111">
        <v>6</v>
      </c>
      <c r="K55" s="111">
        <v>6</v>
      </c>
      <c r="L55" s="111">
        <v>6</v>
      </c>
      <c r="M55" s="111">
        <v>6</v>
      </c>
      <c r="N55" s="111">
        <v>6</v>
      </c>
      <c r="O55" s="111">
        <v>6</v>
      </c>
      <c r="P55" s="111">
        <v>6</v>
      </c>
      <c r="Q55" s="111">
        <v>6</v>
      </c>
      <c r="R55" s="111">
        <v>6</v>
      </c>
      <c r="S55" s="111">
        <v>6</v>
      </c>
      <c r="T55" s="111">
        <v>6</v>
      </c>
      <c r="U55" s="111">
        <v>6</v>
      </c>
      <c r="V55" s="111">
        <v>6</v>
      </c>
      <c r="W55" s="111">
        <v>6</v>
      </c>
      <c r="X55" s="111">
        <v>6</v>
      </c>
      <c r="Y55" s="110"/>
      <c r="Z55" s="295">
        <f t="shared" si="7"/>
        <v>102</v>
      </c>
      <c r="AA55" s="298">
        <f t="shared" si="12"/>
        <v>19.245283018867926</v>
      </c>
      <c r="AB55" s="301" t="str">
        <f t="shared" si="9"/>
        <v>17/49</v>
      </c>
      <c r="AC55" s="338" t="str">
        <f t="shared" si="10"/>
        <v>B</v>
      </c>
      <c r="AD55" s="321" t="str">
        <f t="shared" si="11"/>
        <v>RAS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6</v>
      </c>
      <c r="H56" s="110"/>
      <c r="I56" s="111">
        <v>6</v>
      </c>
      <c r="J56" s="111">
        <v>6</v>
      </c>
      <c r="K56" s="111">
        <v>6</v>
      </c>
      <c r="L56" s="111">
        <v>6</v>
      </c>
      <c r="M56" s="111">
        <v>6</v>
      </c>
      <c r="N56" s="111">
        <v>6</v>
      </c>
      <c r="O56" s="111">
        <v>6</v>
      </c>
      <c r="P56" s="111">
        <v>6</v>
      </c>
      <c r="Q56" s="111">
        <v>6</v>
      </c>
      <c r="R56" s="111">
        <v>6</v>
      </c>
      <c r="S56" s="111">
        <v>6</v>
      </c>
      <c r="T56" s="111">
        <v>6</v>
      </c>
      <c r="U56" s="111">
        <v>6</v>
      </c>
      <c r="V56" s="111">
        <v>6</v>
      </c>
      <c r="W56" s="111">
        <v>6</v>
      </c>
      <c r="X56" s="111">
        <v>6</v>
      </c>
      <c r="Y56" s="110"/>
      <c r="Z56" s="295">
        <f t="shared" si="7"/>
        <v>102</v>
      </c>
      <c r="AA56" s="298">
        <f t="shared" si="12"/>
        <v>19.245283018867926</v>
      </c>
      <c r="AB56" s="301" t="str">
        <f t="shared" si="9"/>
        <v>17/49</v>
      </c>
      <c r="AC56" s="338" t="str">
        <f t="shared" si="10"/>
        <v>B</v>
      </c>
      <c r="AD56" s="321" t="str">
        <f t="shared" si="11"/>
        <v>RAS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12</v>
      </c>
      <c r="H57" s="110"/>
      <c r="I57" s="111">
        <v>12</v>
      </c>
      <c r="J57" s="111">
        <v>12</v>
      </c>
      <c r="K57" s="111">
        <v>12</v>
      </c>
      <c r="L57" s="111">
        <v>12</v>
      </c>
      <c r="M57" s="111">
        <v>12</v>
      </c>
      <c r="N57" s="111">
        <v>12</v>
      </c>
      <c r="O57" s="111">
        <v>12</v>
      </c>
      <c r="P57" s="111">
        <v>12</v>
      </c>
      <c r="Q57" s="111">
        <v>12</v>
      </c>
      <c r="R57" s="111">
        <v>12</v>
      </c>
      <c r="S57" s="111">
        <v>12</v>
      </c>
      <c r="T57" s="111">
        <v>12</v>
      </c>
      <c r="U57" s="111">
        <v>12</v>
      </c>
      <c r="V57" s="111">
        <v>12</v>
      </c>
      <c r="W57" s="111">
        <v>12</v>
      </c>
      <c r="X57" s="111">
        <v>12</v>
      </c>
      <c r="Y57" s="110"/>
      <c r="Z57" s="295">
        <f t="shared" si="7"/>
        <v>204</v>
      </c>
      <c r="AA57" s="298">
        <f t="shared" si="12"/>
        <v>38.490566037735853</v>
      </c>
      <c r="AB57" s="301" t="str">
        <f t="shared" si="9"/>
        <v>12/49</v>
      </c>
      <c r="AC57" s="338" t="str">
        <f t="shared" si="10"/>
        <v>B</v>
      </c>
      <c r="AD57" s="321" t="str">
        <f t="shared" si="11"/>
        <v>RAS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3</v>
      </c>
      <c r="H58" s="110"/>
      <c r="I58" s="111">
        <v>3</v>
      </c>
      <c r="J58" s="111">
        <v>3</v>
      </c>
      <c r="K58" s="111">
        <v>3</v>
      </c>
      <c r="L58" s="111">
        <v>3</v>
      </c>
      <c r="M58" s="111">
        <v>3</v>
      </c>
      <c r="N58" s="111">
        <v>3</v>
      </c>
      <c r="O58" s="111">
        <v>3</v>
      </c>
      <c r="P58" s="111">
        <v>3</v>
      </c>
      <c r="Q58" s="111">
        <v>3</v>
      </c>
      <c r="R58" s="111">
        <v>3</v>
      </c>
      <c r="S58" s="111">
        <v>3</v>
      </c>
      <c r="T58" s="111">
        <v>3</v>
      </c>
      <c r="U58" s="111">
        <v>3</v>
      </c>
      <c r="V58" s="111">
        <v>3</v>
      </c>
      <c r="W58" s="111">
        <v>3</v>
      </c>
      <c r="X58" s="111">
        <v>3</v>
      </c>
      <c r="Y58" s="110"/>
      <c r="Z58" s="295">
        <f t="shared" si="7"/>
        <v>51</v>
      </c>
      <c r="AA58" s="298">
        <f t="shared" si="12"/>
        <v>9.6226415094339632</v>
      </c>
      <c r="AB58" s="301" t="str">
        <f t="shared" si="9"/>
        <v>31/49</v>
      </c>
      <c r="AC58" s="338" t="str">
        <f t="shared" si="10"/>
        <v>B</v>
      </c>
      <c r="AD58" s="321" t="str">
        <f t="shared" si="11"/>
        <v>RAS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19</v>
      </c>
      <c r="H59" s="110"/>
      <c r="I59" s="111">
        <v>19</v>
      </c>
      <c r="J59" s="111">
        <v>19</v>
      </c>
      <c r="K59" s="111">
        <v>19</v>
      </c>
      <c r="L59" s="111">
        <v>19</v>
      </c>
      <c r="M59" s="111">
        <v>19</v>
      </c>
      <c r="N59" s="111">
        <v>19</v>
      </c>
      <c r="O59" s="111">
        <v>19</v>
      </c>
      <c r="P59" s="111">
        <v>19</v>
      </c>
      <c r="Q59" s="111">
        <v>19</v>
      </c>
      <c r="R59" s="111">
        <v>19</v>
      </c>
      <c r="S59" s="111">
        <v>19</v>
      </c>
      <c r="T59" s="111">
        <v>19</v>
      </c>
      <c r="U59" s="111">
        <v>19</v>
      </c>
      <c r="V59" s="111">
        <v>19</v>
      </c>
      <c r="W59" s="111">
        <v>19</v>
      </c>
      <c r="X59" s="111">
        <v>19</v>
      </c>
      <c r="Y59" s="110"/>
      <c r="Z59" s="295">
        <f t="shared" si="7"/>
        <v>323</v>
      </c>
      <c r="AA59" s="298">
        <f t="shared" si="12"/>
        <v>60.943396226415089</v>
      </c>
      <c r="AB59" s="301" t="str">
        <f t="shared" si="9"/>
        <v>4/49</v>
      </c>
      <c r="AC59" s="338" t="str">
        <f t="shared" si="10"/>
        <v>TB</v>
      </c>
      <c r="AD59" s="321" t="str">
        <f t="shared" si="11"/>
        <v>RAS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2</v>
      </c>
      <c r="H60" s="110"/>
      <c r="I60" s="111">
        <v>2</v>
      </c>
      <c r="J60" s="111">
        <v>2</v>
      </c>
      <c r="K60" s="111">
        <v>2</v>
      </c>
      <c r="L60" s="111">
        <v>2</v>
      </c>
      <c r="M60" s="111">
        <v>2</v>
      </c>
      <c r="N60" s="111">
        <v>2</v>
      </c>
      <c r="O60" s="111">
        <v>2</v>
      </c>
      <c r="P60" s="111">
        <v>2</v>
      </c>
      <c r="Q60" s="111">
        <v>2</v>
      </c>
      <c r="R60" s="111">
        <v>2</v>
      </c>
      <c r="S60" s="111">
        <v>2</v>
      </c>
      <c r="T60" s="111">
        <v>2</v>
      </c>
      <c r="U60" s="111">
        <v>2</v>
      </c>
      <c r="V60" s="111">
        <v>2</v>
      </c>
      <c r="W60" s="111">
        <v>2</v>
      </c>
      <c r="X60" s="111">
        <v>2</v>
      </c>
      <c r="Y60" s="110"/>
      <c r="Z60" s="295">
        <f t="shared" si="7"/>
        <v>34</v>
      </c>
      <c r="AA60" s="298">
        <f t="shared" si="12"/>
        <v>6.4150943396226419</v>
      </c>
      <c r="AB60" s="301" t="str">
        <f t="shared" si="9"/>
        <v>34/49</v>
      </c>
      <c r="AC60" s="338" t="str">
        <f t="shared" si="10"/>
        <v>B</v>
      </c>
      <c r="AD60" s="321" t="str">
        <f t="shared" si="11"/>
        <v>RAS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2</v>
      </c>
      <c r="H61" s="110"/>
      <c r="I61" s="111">
        <v>2</v>
      </c>
      <c r="J61" s="111">
        <v>2</v>
      </c>
      <c r="K61" s="111">
        <v>2</v>
      </c>
      <c r="L61" s="111">
        <v>2</v>
      </c>
      <c r="M61" s="111">
        <v>2</v>
      </c>
      <c r="N61" s="111">
        <v>2</v>
      </c>
      <c r="O61" s="111">
        <v>2</v>
      </c>
      <c r="P61" s="111">
        <v>2</v>
      </c>
      <c r="Q61" s="111">
        <v>2</v>
      </c>
      <c r="R61" s="111">
        <v>2</v>
      </c>
      <c r="S61" s="111">
        <v>2</v>
      </c>
      <c r="T61" s="111">
        <v>2</v>
      </c>
      <c r="U61" s="111">
        <v>2</v>
      </c>
      <c r="V61" s="111">
        <v>2</v>
      </c>
      <c r="W61" s="111">
        <v>2</v>
      </c>
      <c r="X61" s="111">
        <v>2</v>
      </c>
      <c r="Y61" s="110"/>
      <c r="Z61" s="295">
        <f t="shared" si="7"/>
        <v>34</v>
      </c>
      <c r="AA61" s="298">
        <f t="shared" si="12"/>
        <v>6.4150943396226419</v>
      </c>
      <c r="AB61" s="301" t="str">
        <f t="shared" si="9"/>
        <v>34/49</v>
      </c>
      <c r="AC61" s="338" t="str">
        <f t="shared" si="10"/>
        <v>B</v>
      </c>
      <c r="AD61" s="321" t="str">
        <f t="shared" si="11"/>
        <v>RAS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3</v>
      </c>
      <c r="H62" s="110"/>
      <c r="I62" s="111">
        <v>3</v>
      </c>
      <c r="J62" s="111">
        <v>3</v>
      </c>
      <c r="K62" s="111">
        <v>3</v>
      </c>
      <c r="L62" s="111">
        <v>3</v>
      </c>
      <c r="M62" s="111">
        <v>3</v>
      </c>
      <c r="N62" s="111">
        <v>3</v>
      </c>
      <c r="O62" s="111">
        <v>3</v>
      </c>
      <c r="P62" s="111">
        <v>3</v>
      </c>
      <c r="Q62" s="111">
        <v>3</v>
      </c>
      <c r="R62" s="111">
        <v>3</v>
      </c>
      <c r="S62" s="111">
        <v>3</v>
      </c>
      <c r="T62" s="111">
        <v>3</v>
      </c>
      <c r="U62" s="111">
        <v>3</v>
      </c>
      <c r="V62" s="111">
        <v>3</v>
      </c>
      <c r="W62" s="111">
        <v>3</v>
      </c>
      <c r="X62" s="111">
        <v>3</v>
      </c>
      <c r="Y62" s="110"/>
      <c r="Z62" s="295">
        <f t="shared" si="7"/>
        <v>51</v>
      </c>
      <c r="AA62" s="298">
        <f t="shared" si="12"/>
        <v>9.6226415094339632</v>
      </c>
      <c r="AB62" s="301" t="str">
        <f t="shared" si="9"/>
        <v>31/49</v>
      </c>
      <c r="AC62" s="338" t="str">
        <f t="shared" si="10"/>
        <v>B</v>
      </c>
      <c r="AD62" s="321" t="str">
        <f t="shared" si="11"/>
        <v>RAS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6</v>
      </c>
      <c r="H63" s="110"/>
      <c r="I63" s="111">
        <v>6</v>
      </c>
      <c r="J63" s="111">
        <v>6</v>
      </c>
      <c r="K63" s="111">
        <v>6</v>
      </c>
      <c r="L63" s="111">
        <v>6</v>
      </c>
      <c r="M63" s="111">
        <v>6</v>
      </c>
      <c r="N63" s="111">
        <v>6</v>
      </c>
      <c r="O63" s="111">
        <v>6</v>
      </c>
      <c r="P63" s="111">
        <v>6</v>
      </c>
      <c r="Q63" s="111">
        <v>6</v>
      </c>
      <c r="R63" s="111">
        <v>6</v>
      </c>
      <c r="S63" s="111">
        <v>6</v>
      </c>
      <c r="T63" s="111">
        <v>6</v>
      </c>
      <c r="U63" s="111">
        <v>6</v>
      </c>
      <c r="V63" s="111">
        <v>6</v>
      </c>
      <c r="W63" s="111">
        <v>6</v>
      </c>
      <c r="X63" s="111">
        <v>6</v>
      </c>
      <c r="Y63" s="110"/>
      <c r="Z63" s="295">
        <f t="shared" si="7"/>
        <v>102</v>
      </c>
      <c r="AA63" s="298">
        <f t="shared" si="12"/>
        <v>19.245283018867926</v>
      </c>
      <c r="AB63" s="301" t="str">
        <f t="shared" si="9"/>
        <v>17/49</v>
      </c>
      <c r="AC63" s="338" t="str">
        <f t="shared" si="10"/>
        <v>B</v>
      </c>
      <c r="AD63" s="321" t="str">
        <f t="shared" si="11"/>
        <v>RAS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17</v>
      </c>
      <c r="H64" s="110"/>
      <c r="I64" s="111">
        <v>17</v>
      </c>
      <c r="J64" s="111">
        <v>17</v>
      </c>
      <c r="K64" s="111">
        <v>17</v>
      </c>
      <c r="L64" s="111">
        <v>17</v>
      </c>
      <c r="M64" s="111">
        <v>17</v>
      </c>
      <c r="N64" s="111">
        <v>17</v>
      </c>
      <c r="O64" s="111">
        <v>17</v>
      </c>
      <c r="P64" s="111">
        <v>17</v>
      </c>
      <c r="Q64" s="111">
        <v>17</v>
      </c>
      <c r="R64" s="111">
        <v>17</v>
      </c>
      <c r="S64" s="111">
        <v>17</v>
      </c>
      <c r="T64" s="111">
        <v>17</v>
      </c>
      <c r="U64" s="111">
        <v>17</v>
      </c>
      <c r="V64" s="111">
        <v>17</v>
      </c>
      <c r="W64" s="111">
        <v>17</v>
      </c>
      <c r="X64" s="111">
        <v>17</v>
      </c>
      <c r="Y64" s="110"/>
      <c r="Z64" s="295">
        <f t="shared" si="7"/>
        <v>289</v>
      </c>
      <c r="AA64" s="298">
        <f t="shared" si="12"/>
        <v>54.528301886792448</v>
      </c>
      <c r="AB64" s="301" t="str">
        <f t="shared" si="9"/>
        <v>8/49</v>
      </c>
      <c r="AC64" s="338" t="str">
        <f t="shared" si="10"/>
        <v>B</v>
      </c>
      <c r="AD64" s="321" t="str">
        <f t="shared" si="11"/>
        <v>RAS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>
        <v>6</v>
      </c>
      <c r="H65" s="110"/>
      <c r="I65" s="111">
        <v>6</v>
      </c>
      <c r="J65" s="111">
        <v>6</v>
      </c>
      <c r="K65" s="111">
        <v>6</v>
      </c>
      <c r="L65" s="111">
        <v>6</v>
      </c>
      <c r="M65" s="111">
        <v>6</v>
      </c>
      <c r="N65" s="111">
        <v>6</v>
      </c>
      <c r="O65" s="111">
        <v>6</v>
      </c>
      <c r="P65" s="111">
        <v>6</v>
      </c>
      <c r="Q65" s="111">
        <v>6</v>
      </c>
      <c r="R65" s="111">
        <v>6</v>
      </c>
      <c r="S65" s="111">
        <v>6</v>
      </c>
      <c r="T65" s="111">
        <v>6</v>
      </c>
      <c r="U65" s="111">
        <v>6</v>
      </c>
      <c r="V65" s="111">
        <v>6</v>
      </c>
      <c r="W65" s="111">
        <v>6</v>
      </c>
      <c r="X65" s="111">
        <v>6</v>
      </c>
      <c r="Y65" s="110"/>
      <c r="Z65" s="295">
        <f t="shared" si="7"/>
        <v>102</v>
      </c>
      <c r="AA65" s="298">
        <f t="shared" si="12"/>
        <v>19.245283018867926</v>
      </c>
      <c r="AB65" s="301" t="str">
        <f t="shared" si="9"/>
        <v>17/49</v>
      </c>
      <c r="AC65" s="338" t="str">
        <f t="shared" si="10"/>
        <v>B</v>
      </c>
      <c r="AD65" s="321" t="str">
        <f t="shared" si="11"/>
        <v>RAS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12"/>
        <v>0</v>
      </c>
      <c r="AB66" s="301" t="str">
        <f t="shared" si="9"/>
        <v>43/49</v>
      </c>
      <c r="AC66" s="338" t="str">
        <f t="shared" si="10"/>
        <v>B</v>
      </c>
      <c r="AD66" s="321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12"/>
        <v>0</v>
      </c>
      <c r="AB67" s="301" t="str">
        <f t="shared" si="9"/>
        <v>43/49</v>
      </c>
      <c r="AC67" s="338" t="str">
        <f t="shared" si="10"/>
        <v>B</v>
      </c>
      <c r="AD67" s="321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12"/>
        <v>0</v>
      </c>
      <c r="AB68" s="301" t="str">
        <f t="shared" si="9"/>
        <v>43/49</v>
      </c>
      <c r="AC68" s="338" t="str">
        <f t="shared" si="10"/>
        <v>B</v>
      </c>
      <c r="AD68" s="321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12"/>
        <v>0</v>
      </c>
      <c r="AB69" s="301" t="str">
        <f t="shared" si="9"/>
        <v>43/49</v>
      </c>
      <c r="AC69" s="338" t="str">
        <f t="shared" si="10"/>
        <v>B</v>
      </c>
      <c r="AD69" s="321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12"/>
        <v>0</v>
      </c>
      <c r="AB70" s="301" t="str">
        <f t="shared" si="9"/>
        <v>43/49</v>
      </c>
      <c r="AC70" s="338" t="str">
        <f t="shared" si="10"/>
        <v>B</v>
      </c>
      <c r="AD70" s="321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12"/>
        <v>0</v>
      </c>
      <c r="AB71" s="301" t="str">
        <f t="shared" si="9"/>
        <v>43/49</v>
      </c>
      <c r="AC71" s="338" t="str">
        <f t="shared" si="10"/>
        <v>B</v>
      </c>
      <c r="AD71" s="321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12"/>
        <v>0</v>
      </c>
      <c r="AB72" s="301" t="str">
        <f t="shared" si="9"/>
        <v>43/49</v>
      </c>
      <c r="AC72" s="338" t="str">
        <f t="shared" si="10"/>
        <v>B</v>
      </c>
      <c r="AD72" s="321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12"/>
        <v>0</v>
      </c>
      <c r="AB73" s="301" t="str">
        <f t="shared" si="9"/>
        <v>43/49</v>
      </c>
      <c r="AC73" s="338" t="str">
        <f t="shared" si="10"/>
        <v>B</v>
      </c>
      <c r="AD73" s="321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12"/>
        <v>0</v>
      </c>
      <c r="AB74" s="301" t="str">
        <f t="shared" si="9"/>
        <v>43/49</v>
      </c>
      <c r="AC74" s="338" t="str">
        <f t="shared" si="10"/>
        <v>B</v>
      </c>
      <c r="AD74" s="321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12"/>
        <v>0</v>
      </c>
      <c r="AB75" s="301" t="str">
        <f t="shared" si="9"/>
        <v>43/49</v>
      </c>
      <c r="AC75" s="338" t="str">
        <f t="shared" si="10"/>
        <v>B</v>
      </c>
      <c r="AD75" s="321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12"/>
        <v>0</v>
      </c>
      <c r="AB76" s="301" t="str">
        <f t="shared" si="9"/>
        <v>43/49</v>
      </c>
      <c r="AC76" s="338" t="str">
        <f t="shared" si="10"/>
        <v>B</v>
      </c>
      <c r="AD76" s="321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12"/>
        <v>0</v>
      </c>
      <c r="AB77" s="301" t="str">
        <f t="shared" si="9"/>
        <v>43/49</v>
      </c>
      <c r="AC77" s="338" t="str">
        <f t="shared" si="10"/>
        <v>B</v>
      </c>
      <c r="AD77" s="321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12"/>
        <v>0</v>
      </c>
      <c r="AB78" s="301" t="str">
        <f t="shared" si="9"/>
        <v>43/49</v>
      </c>
      <c r="AC78" s="338" t="str">
        <f t="shared" si="10"/>
        <v>B</v>
      </c>
      <c r="AD78" s="321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12"/>
        <v>0</v>
      </c>
      <c r="AB79" s="301" t="str">
        <f t="shared" si="9"/>
        <v>43/49</v>
      </c>
      <c r="AC79" s="338" t="str">
        <f t="shared" si="10"/>
        <v>B</v>
      </c>
      <c r="AD79" s="321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12"/>
        <v>0</v>
      </c>
      <c r="AB80" s="301" t="str">
        <f t="shared" si="9"/>
        <v>43/49</v>
      </c>
      <c r="AC80" s="338" t="str">
        <f t="shared" si="10"/>
        <v>B</v>
      </c>
      <c r="AD80" s="321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12"/>
        <v>0</v>
      </c>
      <c r="AB81" s="301" t="str">
        <f t="shared" si="9"/>
        <v>43/49</v>
      </c>
      <c r="AC81" s="338" t="str">
        <f t="shared" si="10"/>
        <v>B</v>
      </c>
      <c r="AD81" s="321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3">SUM(G82,I82:X82)</f>
        <v>0</v>
      </c>
      <c r="AA82" s="298">
        <f t="shared" si="12"/>
        <v>0</v>
      </c>
      <c r="AB82" s="301" t="str">
        <f t="shared" ref="AB82:AB122" si="14">RANK(AA82,AA$17:AA$122,0) &amp;"/"&amp; COUNTA($B$17:$B$122)</f>
        <v>43/49</v>
      </c>
      <c r="AC82" s="338" t="str">
        <f t="shared" ref="AC82:AC122" si="15">IF(AA82&gt;60,"TB","B")</f>
        <v>B</v>
      </c>
      <c r="AD82" s="321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3"/>
        <v>0</v>
      </c>
      <c r="AA83" s="298">
        <f t="shared" si="12"/>
        <v>0</v>
      </c>
      <c r="AB83" s="301" t="str">
        <f t="shared" si="14"/>
        <v>43/49</v>
      </c>
      <c r="AC83" s="338" t="str">
        <f t="shared" si="15"/>
        <v>B</v>
      </c>
      <c r="AD83" s="321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3"/>
        <v>0</v>
      </c>
      <c r="AA84" s="298">
        <f t="shared" si="12"/>
        <v>0</v>
      </c>
      <c r="AB84" s="301" t="str">
        <f t="shared" si="14"/>
        <v>43/49</v>
      </c>
      <c r="AC84" s="338" t="str">
        <f t="shared" si="15"/>
        <v>B</v>
      </c>
      <c r="AD84" s="321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3"/>
        <v>0</v>
      </c>
      <c r="AA85" s="298">
        <f t="shared" si="12"/>
        <v>0</v>
      </c>
      <c r="AB85" s="301" t="str">
        <f t="shared" si="14"/>
        <v>43/49</v>
      </c>
      <c r="AC85" s="338" t="str">
        <f t="shared" si="15"/>
        <v>B</v>
      </c>
      <c r="AD85" s="321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3"/>
        <v>0</v>
      </c>
      <c r="AA86" s="298">
        <f t="shared" si="12"/>
        <v>0</v>
      </c>
      <c r="AB86" s="301" t="str">
        <f t="shared" si="14"/>
        <v>43/49</v>
      </c>
      <c r="AC86" s="338" t="str">
        <f t="shared" si="15"/>
        <v>B</v>
      </c>
      <c r="AD86" s="321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3"/>
        <v>0</v>
      </c>
      <c r="AA87" s="298">
        <f t="shared" si="12"/>
        <v>0</v>
      </c>
      <c r="AB87" s="301" t="str">
        <f t="shared" si="14"/>
        <v>43/49</v>
      </c>
      <c r="AC87" s="338" t="str">
        <f t="shared" si="15"/>
        <v>B</v>
      </c>
      <c r="AD87" s="321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3"/>
        <v>0</v>
      </c>
      <c r="AA88" s="298">
        <f t="shared" si="12"/>
        <v>0</v>
      </c>
      <c r="AB88" s="301" t="str">
        <f t="shared" si="14"/>
        <v>43/49</v>
      </c>
      <c r="AC88" s="338" t="str">
        <f t="shared" si="15"/>
        <v>B</v>
      </c>
      <c r="AD88" s="321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3"/>
        <v>0</v>
      </c>
      <c r="AA89" s="298">
        <f t="shared" si="12"/>
        <v>0</v>
      </c>
      <c r="AB89" s="301" t="str">
        <f t="shared" si="14"/>
        <v>43/49</v>
      </c>
      <c r="AC89" s="338" t="str">
        <f t="shared" si="15"/>
        <v>B</v>
      </c>
      <c r="AD89" s="321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3"/>
        <v>0</v>
      </c>
      <c r="AA90" s="298">
        <f t="shared" si="12"/>
        <v>0</v>
      </c>
      <c r="AB90" s="301" t="str">
        <f t="shared" si="14"/>
        <v>43/49</v>
      </c>
      <c r="AC90" s="338" t="str">
        <f t="shared" si="15"/>
        <v>B</v>
      </c>
      <c r="AD90" s="321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3"/>
        <v>0</v>
      </c>
      <c r="AA91" s="298">
        <f t="shared" si="12"/>
        <v>0</v>
      </c>
      <c r="AB91" s="301" t="str">
        <f t="shared" si="14"/>
        <v>43/49</v>
      </c>
      <c r="AC91" s="338" t="str">
        <f t="shared" si="15"/>
        <v>B</v>
      </c>
      <c r="AD91" s="321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3"/>
        <v>0</v>
      </c>
      <c r="AA92" s="298">
        <f t="shared" si="12"/>
        <v>0</v>
      </c>
      <c r="AB92" s="301" t="str">
        <f t="shared" si="14"/>
        <v>43/49</v>
      </c>
      <c r="AC92" s="338" t="str">
        <f t="shared" si="15"/>
        <v>B</v>
      </c>
      <c r="AD92" s="321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3"/>
        <v>0</v>
      </c>
      <c r="AA93" s="298">
        <f t="shared" si="12"/>
        <v>0</v>
      </c>
      <c r="AB93" s="301" t="str">
        <f t="shared" si="14"/>
        <v>43/49</v>
      </c>
      <c r="AC93" s="338" t="str">
        <f t="shared" si="15"/>
        <v>B</v>
      </c>
      <c r="AD93" s="321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3"/>
        <v>0</v>
      </c>
      <c r="AA94" s="298">
        <f t="shared" si="12"/>
        <v>0</v>
      </c>
      <c r="AB94" s="301" t="str">
        <f t="shared" si="14"/>
        <v>43/49</v>
      </c>
      <c r="AC94" s="338" t="str">
        <f t="shared" si="15"/>
        <v>B</v>
      </c>
      <c r="AD94" s="321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3"/>
        <v>0</v>
      </c>
      <c r="AA95" s="298">
        <f t="shared" si="12"/>
        <v>0</v>
      </c>
      <c r="AB95" s="301" t="str">
        <f t="shared" si="14"/>
        <v>43/49</v>
      </c>
      <c r="AC95" s="338" t="str">
        <f t="shared" si="15"/>
        <v>B</v>
      </c>
      <c r="AD95" s="321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3"/>
        <v>0</v>
      </c>
      <c r="AA96" s="298">
        <f t="shared" si="12"/>
        <v>0</v>
      </c>
      <c r="AB96" s="301" t="str">
        <f t="shared" si="14"/>
        <v>43/49</v>
      </c>
      <c r="AC96" s="338" t="str">
        <f t="shared" si="15"/>
        <v>B</v>
      </c>
      <c r="AD96" s="321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3"/>
        <v>0</v>
      </c>
      <c r="AA97" s="298">
        <f t="shared" ref="AA97:AA122" si="17">(Z97/$Z$15)*100</f>
        <v>0</v>
      </c>
      <c r="AB97" s="301" t="str">
        <f t="shared" si="14"/>
        <v>43/49</v>
      </c>
      <c r="AC97" s="338" t="str">
        <f t="shared" si="15"/>
        <v>B</v>
      </c>
      <c r="AD97" s="321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3"/>
        <v>0</v>
      </c>
      <c r="AA98" s="298">
        <f t="shared" si="17"/>
        <v>0</v>
      </c>
      <c r="AB98" s="301" t="str">
        <f t="shared" si="14"/>
        <v>43/49</v>
      </c>
      <c r="AC98" s="338" t="str">
        <f t="shared" si="15"/>
        <v>B</v>
      </c>
      <c r="AD98" s="321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3"/>
        <v>0</v>
      </c>
      <c r="AA99" s="298">
        <f t="shared" si="17"/>
        <v>0</v>
      </c>
      <c r="AB99" s="301" t="str">
        <f t="shared" si="14"/>
        <v>43/49</v>
      </c>
      <c r="AC99" s="338" t="str">
        <f t="shared" si="15"/>
        <v>B</v>
      </c>
      <c r="AD99" s="321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3"/>
        <v>0</v>
      </c>
      <c r="AA100" s="298">
        <f t="shared" si="17"/>
        <v>0</v>
      </c>
      <c r="AB100" s="301" t="str">
        <f t="shared" si="14"/>
        <v>43/49</v>
      </c>
      <c r="AC100" s="338" t="str">
        <f t="shared" si="15"/>
        <v>B</v>
      </c>
      <c r="AD100" s="321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3"/>
        <v>0</v>
      </c>
      <c r="AA101" s="298">
        <f t="shared" si="17"/>
        <v>0</v>
      </c>
      <c r="AB101" s="301" t="str">
        <f t="shared" si="14"/>
        <v>43/49</v>
      </c>
      <c r="AC101" s="338" t="str">
        <f t="shared" si="15"/>
        <v>B</v>
      </c>
      <c r="AD101" s="321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3"/>
        <v>0</v>
      </c>
      <c r="AA102" s="298">
        <f t="shared" si="17"/>
        <v>0</v>
      </c>
      <c r="AB102" s="301" t="str">
        <f t="shared" si="14"/>
        <v>43/49</v>
      </c>
      <c r="AC102" s="338" t="str">
        <f t="shared" si="15"/>
        <v>B</v>
      </c>
      <c r="AD102" s="321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3"/>
        <v>0</v>
      </c>
      <c r="AA103" s="298">
        <f t="shared" si="17"/>
        <v>0</v>
      </c>
      <c r="AB103" s="301" t="str">
        <f t="shared" si="14"/>
        <v>43/49</v>
      </c>
      <c r="AC103" s="338" t="str">
        <f t="shared" si="15"/>
        <v>B</v>
      </c>
      <c r="AD103" s="321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3"/>
        <v>0</v>
      </c>
      <c r="AA104" s="298">
        <f t="shared" si="17"/>
        <v>0</v>
      </c>
      <c r="AB104" s="301" t="str">
        <f t="shared" si="14"/>
        <v>43/49</v>
      </c>
      <c r="AC104" s="338" t="str">
        <f t="shared" si="15"/>
        <v>B</v>
      </c>
      <c r="AD104" s="321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3"/>
        <v>0</v>
      </c>
      <c r="AA105" s="298">
        <f t="shared" si="17"/>
        <v>0</v>
      </c>
      <c r="AB105" s="301" t="str">
        <f t="shared" si="14"/>
        <v>43/49</v>
      </c>
      <c r="AC105" s="338" t="str">
        <f t="shared" si="15"/>
        <v>B</v>
      </c>
      <c r="AD105" s="321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3"/>
        <v>0</v>
      </c>
      <c r="AA106" s="298">
        <f t="shared" si="17"/>
        <v>0</v>
      </c>
      <c r="AB106" s="301" t="str">
        <f t="shared" si="14"/>
        <v>43/49</v>
      </c>
      <c r="AC106" s="338" t="str">
        <f t="shared" si="15"/>
        <v>B</v>
      </c>
      <c r="AD106" s="321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3"/>
        <v>0</v>
      </c>
      <c r="AA107" s="298">
        <f t="shared" si="17"/>
        <v>0</v>
      </c>
      <c r="AB107" s="301" t="str">
        <f t="shared" si="14"/>
        <v>43/49</v>
      </c>
      <c r="AC107" s="338" t="str">
        <f t="shared" si="15"/>
        <v>B</v>
      </c>
      <c r="AD107" s="321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3"/>
        <v>0</v>
      </c>
      <c r="AA108" s="298">
        <f t="shared" si="17"/>
        <v>0</v>
      </c>
      <c r="AB108" s="301" t="str">
        <f t="shared" si="14"/>
        <v>43/49</v>
      </c>
      <c r="AC108" s="338" t="str">
        <f t="shared" si="15"/>
        <v>B</v>
      </c>
      <c r="AD108" s="321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3"/>
        <v>0</v>
      </c>
      <c r="AA109" s="298">
        <f t="shared" si="17"/>
        <v>0</v>
      </c>
      <c r="AB109" s="301" t="str">
        <f t="shared" si="14"/>
        <v>43/49</v>
      </c>
      <c r="AC109" s="338" t="str">
        <f t="shared" si="15"/>
        <v>B</v>
      </c>
      <c r="AD109" s="321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3"/>
        <v>0</v>
      </c>
      <c r="AA110" s="298">
        <f t="shared" si="17"/>
        <v>0</v>
      </c>
      <c r="AB110" s="301" t="str">
        <f t="shared" si="14"/>
        <v>43/49</v>
      </c>
      <c r="AC110" s="338" t="str">
        <f t="shared" si="15"/>
        <v>B</v>
      </c>
      <c r="AD110" s="321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3"/>
        <v>0</v>
      </c>
      <c r="AA111" s="298">
        <f t="shared" si="17"/>
        <v>0</v>
      </c>
      <c r="AB111" s="301" t="str">
        <f t="shared" si="14"/>
        <v>43/49</v>
      </c>
      <c r="AC111" s="338" t="str">
        <f t="shared" si="15"/>
        <v>B</v>
      </c>
      <c r="AD111" s="321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3"/>
        <v>0</v>
      </c>
      <c r="AA112" s="298">
        <f t="shared" si="17"/>
        <v>0</v>
      </c>
      <c r="AB112" s="301" t="str">
        <f t="shared" si="14"/>
        <v>43/49</v>
      </c>
      <c r="AC112" s="338" t="str">
        <f t="shared" si="15"/>
        <v>B</v>
      </c>
      <c r="AD112" s="321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3"/>
        <v>0</v>
      </c>
      <c r="AA113" s="298">
        <f t="shared" si="17"/>
        <v>0</v>
      </c>
      <c r="AB113" s="301" t="str">
        <f t="shared" si="14"/>
        <v>43/49</v>
      </c>
      <c r="AC113" s="338" t="str">
        <f t="shared" si="15"/>
        <v>B</v>
      </c>
      <c r="AD113" s="321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3"/>
        <v>0</v>
      </c>
      <c r="AA114" s="298">
        <f t="shared" si="17"/>
        <v>0</v>
      </c>
      <c r="AB114" s="301" t="str">
        <f t="shared" si="14"/>
        <v>43/49</v>
      </c>
      <c r="AC114" s="338" t="str">
        <f t="shared" si="15"/>
        <v>B</v>
      </c>
      <c r="AD114" s="321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3"/>
        <v>0</v>
      </c>
      <c r="AA115" s="298">
        <f t="shared" si="17"/>
        <v>0</v>
      </c>
      <c r="AB115" s="301" t="str">
        <f t="shared" si="14"/>
        <v>43/49</v>
      </c>
      <c r="AC115" s="338" t="str">
        <f t="shared" si="15"/>
        <v>B</v>
      </c>
      <c r="AD115" s="321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3"/>
        <v>0</v>
      </c>
      <c r="AA116" s="298">
        <f t="shared" si="17"/>
        <v>0</v>
      </c>
      <c r="AB116" s="301" t="str">
        <f t="shared" si="14"/>
        <v>43/49</v>
      </c>
      <c r="AC116" s="338" t="str">
        <f t="shared" si="15"/>
        <v>B</v>
      </c>
      <c r="AD116" s="321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3"/>
        <v>0</v>
      </c>
      <c r="AA117" s="298">
        <f t="shared" si="17"/>
        <v>0</v>
      </c>
      <c r="AB117" s="301" t="str">
        <f t="shared" si="14"/>
        <v>43/49</v>
      </c>
      <c r="AC117" s="338" t="str">
        <f t="shared" si="15"/>
        <v>B</v>
      </c>
      <c r="AD117" s="321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3"/>
        <v>0</v>
      </c>
      <c r="AA118" s="298">
        <f t="shared" si="17"/>
        <v>0</v>
      </c>
      <c r="AB118" s="301" t="str">
        <f t="shared" si="14"/>
        <v>43/49</v>
      </c>
      <c r="AC118" s="338" t="str">
        <f t="shared" si="15"/>
        <v>B</v>
      </c>
      <c r="AD118" s="321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3"/>
        <v>0</v>
      </c>
      <c r="AA119" s="298">
        <f t="shared" si="17"/>
        <v>0</v>
      </c>
      <c r="AB119" s="301" t="str">
        <f t="shared" si="14"/>
        <v>43/49</v>
      </c>
      <c r="AC119" s="338" t="str">
        <f t="shared" si="15"/>
        <v>B</v>
      </c>
      <c r="AD119" s="321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3"/>
        <v>0</v>
      </c>
      <c r="AA120" s="298">
        <f t="shared" si="17"/>
        <v>0</v>
      </c>
      <c r="AB120" s="301" t="str">
        <f t="shared" si="14"/>
        <v>43/49</v>
      </c>
      <c r="AC120" s="338" t="str">
        <f t="shared" si="15"/>
        <v>B</v>
      </c>
      <c r="AD120" s="321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3"/>
        <v>0</v>
      </c>
      <c r="AA121" s="298">
        <f t="shared" si="17"/>
        <v>0</v>
      </c>
      <c r="AB121" s="301" t="str">
        <f t="shared" si="14"/>
        <v>43/49</v>
      </c>
      <c r="AC121" s="338" t="str">
        <f t="shared" si="15"/>
        <v>B</v>
      </c>
      <c r="AD121" s="321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3"/>
        <v>0</v>
      </c>
      <c r="AA122" s="299">
        <f t="shared" si="17"/>
        <v>0</v>
      </c>
      <c r="AB122" s="301" t="str">
        <f t="shared" si="14"/>
        <v>43/49</v>
      </c>
      <c r="AC122" s="338" t="str">
        <f t="shared" si="15"/>
        <v>B</v>
      </c>
      <c r="AD122" s="322" t="str">
        <f t="shared" si="16"/>
        <v>Manque 17 Cotes</v>
      </c>
    </row>
  </sheetData>
  <sheetProtection selectLockedCells="1"/>
  <mergeCells count="1">
    <mergeCell ref="F13:Q13"/>
  </mergeCells>
  <conditionalFormatting sqref="E17:E122">
    <cfRule type="containsText" dxfId="83" priority="3" operator="containsText" text="Abandon">
      <formula>NOT(ISERROR(SEARCH("Abandon",E17)))</formula>
    </cfRule>
    <cfRule type="expression" dxfId="82" priority="4">
      <formula>E17 = "Abandon"</formula>
    </cfRule>
  </conditionalFormatting>
  <conditionalFormatting sqref="G17:G122">
    <cfRule type="cellIs" dxfId="81" priority="2" operator="lessThan">
      <formula>G$15/2</formula>
    </cfRule>
  </conditionalFormatting>
  <conditionalFormatting sqref="I17:X122">
    <cfRule type="cellIs" dxfId="80" priority="1" operator="lessThan">
      <formula>I$15/2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08FB8-B12C-4736-8939-786B7E89B15D}">
  <sheetPr codeName="Feuil6"/>
  <dimension ref="A1:AE122"/>
  <sheetViews>
    <sheetView topLeftCell="B103" zoomScale="80" zoomScaleNormal="80" workbookViewId="0">
      <selection activeCell="T36" sqref="T36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(P2)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21</v>
      </c>
      <c r="H6" s="142"/>
      <c r="I6" s="141">
        <f>IFERROR(COUNTIF(I17:I122,"&gt;="&amp;I15/2),0)</f>
        <v>0</v>
      </c>
      <c r="J6" s="141">
        <f t="shared" ref="J6:X6" si="0">IFERROR(COUNTIF(J17:J122,"&gt;="&amp;J15/2),0)</f>
        <v>0</v>
      </c>
      <c r="K6" s="141">
        <f t="shared" si="0"/>
        <v>0</v>
      </c>
      <c r="L6" s="141">
        <f t="shared" si="0"/>
        <v>0</v>
      </c>
      <c r="M6" s="141">
        <f t="shared" si="0"/>
        <v>32</v>
      </c>
      <c r="N6" s="141">
        <f t="shared" si="0"/>
        <v>0</v>
      </c>
      <c r="O6" s="141">
        <f t="shared" si="0"/>
        <v>28</v>
      </c>
      <c r="P6" s="141">
        <f t="shared" si="0"/>
        <v>38</v>
      </c>
      <c r="Q6" s="141">
        <f t="shared" si="0"/>
        <v>26</v>
      </c>
      <c r="R6" s="141">
        <f t="shared" si="0"/>
        <v>0</v>
      </c>
      <c r="S6" s="141">
        <f t="shared" si="0"/>
        <v>0</v>
      </c>
      <c r="T6" s="141">
        <f t="shared" si="0"/>
        <v>0</v>
      </c>
      <c r="U6" s="141">
        <f t="shared" si="0"/>
        <v>0</v>
      </c>
      <c r="V6" s="141">
        <f t="shared" si="0"/>
        <v>0</v>
      </c>
      <c r="W6" s="141">
        <f t="shared" si="0"/>
        <v>0</v>
      </c>
      <c r="X6" s="141">
        <f t="shared" si="0"/>
        <v>0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20</v>
      </c>
      <c r="H7" s="146"/>
      <c r="I7" s="145">
        <f t="shared" si="1"/>
        <v>0</v>
      </c>
      <c r="J7" s="145">
        <f t="shared" si="1"/>
        <v>0</v>
      </c>
      <c r="K7" s="145">
        <f t="shared" si="1"/>
        <v>0</v>
      </c>
      <c r="L7" s="145">
        <f t="shared" si="1"/>
        <v>0</v>
      </c>
      <c r="M7" s="145">
        <f t="shared" si="1"/>
        <v>10</v>
      </c>
      <c r="N7" s="145">
        <f t="shared" si="1"/>
        <v>0</v>
      </c>
      <c r="O7" s="145">
        <f t="shared" si="1"/>
        <v>14</v>
      </c>
      <c r="P7" s="145">
        <f t="shared" si="1"/>
        <v>4</v>
      </c>
      <c r="Q7" s="145">
        <f t="shared" si="1"/>
        <v>16</v>
      </c>
      <c r="R7" s="145">
        <f t="shared" si="1"/>
        <v>0</v>
      </c>
      <c r="S7" s="145">
        <f t="shared" si="1"/>
        <v>0</v>
      </c>
      <c r="T7" s="145">
        <f t="shared" si="1"/>
        <v>0</v>
      </c>
      <c r="U7" s="145">
        <f t="shared" si="1"/>
        <v>0</v>
      </c>
      <c r="V7" s="145">
        <f t="shared" si="1"/>
        <v>0</v>
      </c>
      <c r="W7" s="145">
        <f t="shared" si="1"/>
        <v>0</v>
      </c>
      <c r="X7" s="145">
        <f t="shared" si="1"/>
        <v>0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8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41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42</v>
      </c>
      <c r="S8" s="145">
        <f t="shared" si="2"/>
        <v>42</v>
      </c>
      <c r="T8" s="145">
        <f t="shared" si="2"/>
        <v>42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200</v>
      </c>
      <c r="K9" s="145">
        <f t="shared" si="3"/>
        <v>0</v>
      </c>
      <c r="L9" s="145">
        <f t="shared" si="3"/>
        <v>0</v>
      </c>
      <c r="M9" s="145">
        <f t="shared" si="3"/>
        <v>0</v>
      </c>
      <c r="N9" s="145">
        <f t="shared" si="3"/>
        <v>0</v>
      </c>
      <c r="O9" s="145">
        <f t="shared" si="3"/>
        <v>0</v>
      </c>
      <c r="P9" s="145">
        <f t="shared" si="3"/>
        <v>474</v>
      </c>
      <c r="Q9" s="145">
        <f t="shared" si="3"/>
        <v>0</v>
      </c>
      <c r="R9" s="145">
        <f t="shared" si="3"/>
        <v>438</v>
      </c>
      <c r="S9" s="145">
        <f t="shared" si="3"/>
        <v>847</v>
      </c>
      <c r="T9" s="145">
        <f t="shared" si="3"/>
        <v>608.6</v>
      </c>
      <c r="U9" s="145">
        <f t="shared" si="3"/>
        <v>0</v>
      </c>
      <c r="V9" s="145">
        <f t="shared" si="3"/>
        <v>0</v>
      </c>
      <c r="W9" s="145">
        <f t="shared" si="3"/>
        <v>0</v>
      </c>
      <c r="X9" s="145">
        <f t="shared" si="3"/>
        <v>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51.219512195121951</v>
      </c>
      <c r="H10" s="146"/>
      <c r="I10" s="145">
        <f t="shared" si="4"/>
        <v>0</v>
      </c>
      <c r="J10" s="145">
        <f t="shared" si="4"/>
        <v>0</v>
      </c>
      <c r="K10" s="145">
        <f t="shared" si="4"/>
        <v>0</v>
      </c>
      <c r="L10" s="145">
        <f t="shared" si="4"/>
        <v>0</v>
      </c>
      <c r="M10" s="145">
        <f t="shared" si="4"/>
        <v>76.19047619047619</v>
      </c>
      <c r="N10" s="145">
        <f t="shared" si="4"/>
        <v>0</v>
      </c>
      <c r="O10" s="145">
        <f t="shared" si="4"/>
        <v>66.666666666666657</v>
      </c>
      <c r="P10" s="145">
        <f t="shared" si="4"/>
        <v>90.476190476190482</v>
      </c>
      <c r="Q10" s="145">
        <f t="shared" si="4"/>
        <v>61.904761904761905</v>
      </c>
      <c r="R10" s="145">
        <f t="shared" si="4"/>
        <v>0</v>
      </c>
      <c r="S10" s="145">
        <f t="shared" si="4"/>
        <v>0</v>
      </c>
      <c r="T10" s="145">
        <f t="shared" si="4"/>
        <v>0</v>
      </c>
      <c r="U10" s="145">
        <f t="shared" si="4"/>
        <v>0</v>
      </c>
      <c r="V10" s="145">
        <f t="shared" si="4"/>
        <v>0</v>
      </c>
      <c r="W10" s="145">
        <f t="shared" si="4"/>
        <v>0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48.780487804878049</v>
      </c>
      <c r="H11" s="146"/>
      <c r="I11" s="145">
        <f t="shared" si="5"/>
        <v>0</v>
      </c>
      <c r="J11" s="145">
        <f t="shared" si="5"/>
        <v>0</v>
      </c>
      <c r="K11" s="145">
        <f t="shared" si="5"/>
        <v>0</v>
      </c>
      <c r="L11" s="145">
        <f t="shared" si="5"/>
        <v>0</v>
      </c>
      <c r="M11" s="145">
        <f t="shared" si="5"/>
        <v>23.809523809523807</v>
      </c>
      <c r="N11" s="145">
        <f t="shared" si="5"/>
        <v>0</v>
      </c>
      <c r="O11" s="145">
        <f t="shared" si="5"/>
        <v>33.333333333333329</v>
      </c>
      <c r="P11" s="145">
        <f t="shared" si="5"/>
        <v>9.5238095238095237</v>
      </c>
      <c r="Q11" s="145">
        <f t="shared" si="5"/>
        <v>38.095238095238095</v>
      </c>
      <c r="R11" s="145">
        <f t="shared" si="5"/>
        <v>0</v>
      </c>
      <c r="S11" s="145">
        <f t="shared" si="5"/>
        <v>0</v>
      </c>
      <c r="T11" s="145">
        <f t="shared" si="5"/>
        <v>0</v>
      </c>
      <c r="U11" s="145">
        <f t="shared" si="5"/>
        <v>0</v>
      </c>
      <c r="V11" s="145">
        <f t="shared" si="5"/>
        <v>0</v>
      </c>
      <c r="W11" s="145">
        <f t="shared" si="5"/>
        <v>0</v>
      </c>
      <c r="X11" s="145">
        <f t="shared" si="5"/>
        <v>0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4.8780487804878048</v>
      </c>
      <c r="H12" s="150"/>
      <c r="I12" s="149">
        <f t="shared" si="6"/>
        <v>0</v>
      </c>
      <c r="J12" s="149">
        <f t="shared" si="6"/>
        <v>0</v>
      </c>
      <c r="K12" s="149">
        <f t="shared" si="6"/>
        <v>0</v>
      </c>
      <c r="L12" s="149">
        <f t="shared" si="6"/>
        <v>0</v>
      </c>
      <c r="M12" s="149">
        <f t="shared" si="6"/>
        <v>11.285714285714286</v>
      </c>
      <c r="N12" s="149">
        <f t="shared" si="6"/>
        <v>0</v>
      </c>
      <c r="O12" s="149">
        <f t="shared" si="6"/>
        <v>10.428571428571429</v>
      </c>
      <c r="P12" s="149">
        <f t="shared" si="6"/>
        <v>20.166666666666668</v>
      </c>
      <c r="Q12" s="149">
        <f t="shared" si="6"/>
        <v>14.490476190476191</v>
      </c>
      <c r="R12" s="149">
        <f t="shared" si="6"/>
        <v>0</v>
      </c>
      <c r="S12" s="149">
        <f t="shared" si="6"/>
        <v>0</v>
      </c>
      <c r="T12" s="149">
        <f t="shared" si="6"/>
        <v>0</v>
      </c>
      <c r="U12" s="149">
        <f t="shared" si="6"/>
        <v>0</v>
      </c>
      <c r="V12" s="149">
        <f t="shared" si="6"/>
        <v>0</v>
      </c>
      <c r="W12" s="149">
        <f t="shared" si="6"/>
        <v>0</v>
      </c>
      <c r="X12" s="149">
        <f t="shared" si="6"/>
        <v>0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1.4">
      <c r="A14" s="121"/>
      <c r="B14" s="122" t="s">
        <v>157</v>
      </c>
      <c r="C14" s="123"/>
      <c r="D14" s="259" t="s">
        <v>31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247">
        <f>DashBoard!$AB7</f>
        <v>10</v>
      </c>
      <c r="H15" s="119"/>
      <c r="I15" s="247">
        <f>DashBoard!$AB9</f>
        <v>20</v>
      </c>
      <c r="J15" s="247">
        <f>DashBoard!$AB10</f>
        <v>20</v>
      </c>
      <c r="K15" s="247">
        <f>DashBoard!$AB11</f>
        <v>20</v>
      </c>
      <c r="L15" s="247">
        <f>DashBoard!$AB12</f>
        <v>20</v>
      </c>
      <c r="M15" s="247">
        <f>DashBoard!$AB13</f>
        <v>20</v>
      </c>
      <c r="N15" s="247">
        <f>DashBoard!$AB14</f>
        <v>20</v>
      </c>
      <c r="O15" s="247">
        <f>DashBoard!$AB15</f>
        <v>20</v>
      </c>
      <c r="P15" s="247">
        <f>DashBoard!$AB16</f>
        <v>30</v>
      </c>
      <c r="Q15" s="247">
        <f>DashBoard!$AB17</f>
        <v>30</v>
      </c>
      <c r="R15" s="247">
        <f>DashBoard!$AB18</f>
        <v>30</v>
      </c>
      <c r="S15" s="247">
        <f>DashBoard!$AB19</f>
        <v>30</v>
      </c>
      <c r="T15" s="247">
        <f>DashBoard!$AB20</f>
        <v>40</v>
      </c>
      <c r="U15" s="247">
        <f>DashBoard!$AB21</f>
        <v>40</v>
      </c>
      <c r="V15" s="247">
        <f>DashBoard!$AB22</f>
        <v>40</v>
      </c>
      <c r="W15" s="247">
        <f>DashBoard!$AB23</f>
        <v>40</v>
      </c>
      <c r="X15" s="247">
        <f>DashBoard!$AB24</f>
        <v>100</v>
      </c>
      <c r="Y15" s="120"/>
      <c r="Z15" s="293">
        <f>SUM(G15,I15:Y15)</f>
        <v>530</v>
      </c>
      <c r="AA15" s="297"/>
      <c r="AB15" s="248"/>
      <c r="AC15" s="303"/>
      <c r="AD15" s="329"/>
    </row>
    <row r="16" spans="1:31" ht="15.75" thickBot="1" x14ac:dyDescent="0.3">
      <c r="A16" s="250" t="s">
        <v>172</v>
      </c>
      <c r="B16" s="250" t="s">
        <v>161</v>
      </c>
      <c r="C16" s="250" t="s">
        <v>162</v>
      </c>
      <c r="D16" s="251" t="s">
        <v>163</v>
      </c>
      <c r="E16" s="252"/>
      <c r="F16" s="253">
        <v>1</v>
      </c>
      <c r="G16" s="254">
        <v>2</v>
      </c>
      <c r="H16" s="254">
        <v>3</v>
      </c>
      <c r="I16" s="254">
        <v>4</v>
      </c>
      <c r="J16" s="254">
        <v>5</v>
      </c>
      <c r="K16" s="254">
        <v>7</v>
      </c>
      <c r="L16" s="254">
        <v>7</v>
      </c>
      <c r="M16" s="254">
        <v>8</v>
      </c>
      <c r="N16" s="254">
        <v>9</v>
      </c>
      <c r="O16" s="254">
        <v>10</v>
      </c>
      <c r="P16" s="254">
        <v>11</v>
      </c>
      <c r="Q16" s="254">
        <v>12</v>
      </c>
      <c r="R16" s="254">
        <v>13</v>
      </c>
      <c r="S16" s="254">
        <v>14</v>
      </c>
      <c r="T16" s="254">
        <v>15</v>
      </c>
      <c r="U16" s="254">
        <v>16</v>
      </c>
      <c r="V16" s="254">
        <v>17</v>
      </c>
      <c r="W16" s="254">
        <v>18</v>
      </c>
      <c r="X16" s="254">
        <v>19</v>
      </c>
      <c r="Y16" s="255">
        <v>20</v>
      </c>
      <c r="Z16" s="256"/>
      <c r="AA16" s="256"/>
      <c r="AB16" s="257"/>
      <c r="AC16" s="256"/>
      <c r="AD16" s="330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/>
      <c r="H17" s="110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10"/>
      <c r="Z17" s="294">
        <f>SUM(G17,I17:X17)</f>
        <v>0</v>
      </c>
      <c r="AA17" s="298">
        <f>(Z17/$Z$15)*100</f>
        <v>0</v>
      </c>
      <c r="AB17" s="301" t="str">
        <f>RANK(AA17,AA$17:AA$122,0) &amp;"/"&amp; COUNTA($B$17:$B$122)</f>
        <v>43/49</v>
      </c>
      <c r="AC17" s="338" t="str">
        <f>IF(AA17&gt;60,"TB","B")</f>
        <v>B</v>
      </c>
      <c r="AD17" s="331" t="str">
        <f>IF(COUNTIF(F17:Y17,"")&gt;3,"Manque " &amp; COUNTIF(F17:Y17,"") - 3 &amp; " Cotes","RAS")</f>
        <v>Manque 17 Cotes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/>
      <c r="H18" s="110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0"/>
      <c r="Z18" s="295">
        <f t="shared" ref="Z18:Z81" si="7">SUM(G18,I18:X18)</f>
        <v>0</v>
      </c>
      <c r="AA18" s="298">
        <f t="shared" ref="AA18:AA81" si="8">(Z18/$Z$15)*100</f>
        <v>0</v>
      </c>
      <c r="AB18" s="301" t="str">
        <f t="shared" ref="AB18:AB81" si="9">RANK(AA18,AA$17:AA$122,0) &amp;"/"&amp; COUNTA($B$17:$B$122)</f>
        <v>43/49</v>
      </c>
      <c r="AC18" s="338" t="str">
        <f t="shared" ref="AC18:AC81" si="10">IF(AA18&gt;60,"TB","B")</f>
        <v>B</v>
      </c>
      <c r="AD18" s="332" t="str">
        <f t="shared" ref="AD18:AD81" si="11">IF(COUNTIF(F18:Y18,"")&gt;3,"Manque " &amp; COUNTIF(F18:Y18,"") - 3 &amp; " Cotes","RAS")</f>
        <v>Manque 17 Cotes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/>
      <c r="H19" s="110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0"/>
      <c r="Z19" s="295">
        <f t="shared" si="7"/>
        <v>0</v>
      </c>
      <c r="AA19" s="298">
        <f t="shared" si="8"/>
        <v>0</v>
      </c>
      <c r="AB19" s="301" t="str">
        <f t="shared" si="9"/>
        <v>43/49</v>
      </c>
      <c r="AC19" s="338" t="str">
        <f t="shared" si="10"/>
        <v>B</v>
      </c>
      <c r="AD19" s="332" t="str">
        <f t="shared" si="11"/>
        <v>Manque 17 Cotes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/>
      <c r="H20" s="110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0"/>
      <c r="Z20" s="295">
        <f t="shared" si="7"/>
        <v>0</v>
      </c>
      <c r="AA20" s="298">
        <f t="shared" si="8"/>
        <v>0</v>
      </c>
      <c r="AB20" s="301" t="str">
        <f t="shared" si="9"/>
        <v>43/49</v>
      </c>
      <c r="AC20" s="338" t="str">
        <f t="shared" si="10"/>
        <v>B</v>
      </c>
      <c r="AD20" s="332" t="str">
        <f t="shared" si="11"/>
        <v>Manque 17 Cotes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9</v>
      </c>
      <c r="H21" s="110"/>
      <c r="I21" s="111"/>
      <c r="J21" s="111"/>
      <c r="K21" s="111"/>
      <c r="L21" s="111"/>
      <c r="M21" s="111">
        <v>15</v>
      </c>
      <c r="N21" s="111"/>
      <c r="O21" s="111">
        <v>13</v>
      </c>
      <c r="P21" s="111">
        <v>24</v>
      </c>
      <c r="Q21" s="111">
        <v>24</v>
      </c>
      <c r="R21" s="111"/>
      <c r="S21" s="111"/>
      <c r="T21" s="111"/>
      <c r="U21" s="111"/>
      <c r="V21" s="111"/>
      <c r="W21" s="111"/>
      <c r="X21" s="111"/>
      <c r="Y21" s="110"/>
      <c r="Z21" s="295">
        <f t="shared" si="7"/>
        <v>85</v>
      </c>
      <c r="AA21" s="298">
        <f t="shared" si="8"/>
        <v>16.037735849056602</v>
      </c>
      <c r="AB21" s="301" t="str">
        <f t="shared" si="9"/>
        <v>1/49</v>
      </c>
      <c r="AC21" s="338" t="str">
        <f t="shared" si="10"/>
        <v>B</v>
      </c>
      <c r="AD21" s="332" t="str">
        <f>IF(COUNTIF(F21:Y21,"")&gt;3,"Manque " &amp; COUNTIF(F21:Y21,"") - 3 &amp; " Cotes","RAS")</f>
        <v>Manque 12 Cotes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2</v>
      </c>
      <c r="H22" s="110"/>
      <c r="I22" s="111"/>
      <c r="J22" s="111"/>
      <c r="K22" s="111"/>
      <c r="L22" s="111"/>
      <c r="M22" s="111">
        <v>5</v>
      </c>
      <c r="N22" s="111"/>
      <c r="O22" s="111">
        <v>13</v>
      </c>
      <c r="P22" s="111">
        <v>23</v>
      </c>
      <c r="Q22" s="111">
        <v>21</v>
      </c>
      <c r="R22" s="111"/>
      <c r="S22" s="111"/>
      <c r="T22" s="111"/>
      <c r="U22" s="111"/>
      <c r="V22" s="111"/>
      <c r="W22" s="111"/>
      <c r="X22" s="111"/>
      <c r="Y22" s="110"/>
      <c r="Z22" s="295">
        <f t="shared" si="7"/>
        <v>64</v>
      </c>
      <c r="AA22" s="298">
        <f t="shared" si="8"/>
        <v>12.075471698113208</v>
      </c>
      <c r="AB22" s="301" t="str">
        <f t="shared" si="9"/>
        <v>13/49</v>
      </c>
      <c r="AC22" s="338" t="str">
        <f t="shared" si="10"/>
        <v>B</v>
      </c>
      <c r="AD22" s="332" t="str">
        <f t="shared" si="11"/>
        <v>Manque 12 Cotes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2</v>
      </c>
      <c r="H23" s="110"/>
      <c r="I23" s="111"/>
      <c r="J23" s="111"/>
      <c r="K23" s="111"/>
      <c r="L23" s="111"/>
      <c r="M23" s="111">
        <v>15</v>
      </c>
      <c r="N23" s="111"/>
      <c r="O23" s="111">
        <v>12</v>
      </c>
      <c r="P23" s="111">
        <v>20</v>
      </c>
      <c r="Q23" s="111">
        <v>18</v>
      </c>
      <c r="R23" s="111"/>
      <c r="S23" s="111"/>
      <c r="T23" s="111"/>
      <c r="U23" s="111"/>
      <c r="V23" s="111"/>
      <c r="W23" s="111"/>
      <c r="X23" s="111"/>
      <c r="Y23" s="110"/>
      <c r="Z23" s="295">
        <f t="shared" si="7"/>
        <v>67</v>
      </c>
      <c r="AA23" s="298">
        <f t="shared" si="8"/>
        <v>12.641509433962264</v>
      </c>
      <c r="AB23" s="301" t="str">
        <f t="shared" si="9"/>
        <v>10/49</v>
      </c>
      <c r="AC23" s="338" t="str">
        <f t="shared" si="10"/>
        <v>B</v>
      </c>
      <c r="AD23" s="332" t="str">
        <f t="shared" si="11"/>
        <v>Manque 12 Cotes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10</v>
      </c>
      <c r="H24" s="110"/>
      <c r="I24" s="111"/>
      <c r="J24" s="111"/>
      <c r="K24" s="111"/>
      <c r="L24" s="111"/>
      <c r="M24" s="111">
        <v>5</v>
      </c>
      <c r="N24" s="111"/>
      <c r="O24" s="111">
        <v>10</v>
      </c>
      <c r="P24" s="111">
        <v>21</v>
      </c>
      <c r="Q24" s="111">
        <v>18</v>
      </c>
      <c r="R24" s="111"/>
      <c r="S24" s="111"/>
      <c r="T24" s="111"/>
      <c r="U24" s="111"/>
      <c r="V24" s="111"/>
      <c r="W24" s="111"/>
      <c r="X24" s="111"/>
      <c r="Y24" s="110"/>
      <c r="Z24" s="295">
        <f t="shared" si="7"/>
        <v>64</v>
      </c>
      <c r="AA24" s="298">
        <f t="shared" si="8"/>
        <v>12.075471698113208</v>
      </c>
      <c r="AB24" s="301" t="str">
        <f t="shared" si="9"/>
        <v>13/49</v>
      </c>
      <c r="AC24" s="338" t="str">
        <f t="shared" si="10"/>
        <v>B</v>
      </c>
      <c r="AD24" s="332" t="str">
        <f t="shared" si="11"/>
        <v>Manque 12 Cotes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/>
      <c r="H25" s="110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0"/>
      <c r="Z25" s="295">
        <f t="shared" si="7"/>
        <v>0</v>
      </c>
      <c r="AA25" s="298">
        <f t="shared" si="8"/>
        <v>0</v>
      </c>
      <c r="AB25" s="301" t="str">
        <f t="shared" si="9"/>
        <v>43/49</v>
      </c>
      <c r="AC25" s="338" t="str">
        <f t="shared" si="10"/>
        <v>B</v>
      </c>
      <c r="AD25" s="332" t="str">
        <f t="shared" si="11"/>
        <v>Manque 17 Cotes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9</v>
      </c>
      <c r="H26" s="110"/>
      <c r="I26" s="111"/>
      <c r="J26" s="111"/>
      <c r="K26" s="111"/>
      <c r="L26" s="111"/>
      <c r="M26" s="111">
        <v>15</v>
      </c>
      <c r="N26" s="111"/>
      <c r="O26" s="111">
        <v>10</v>
      </c>
      <c r="P26" s="111">
        <v>24</v>
      </c>
      <c r="Q26" s="111">
        <v>21</v>
      </c>
      <c r="R26" s="111"/>
      <c r="S26" s="111"/>
      <c r="T26" s="111"/>
      <c r="U26" s="111"/>
      <c r="V26" s="111"/>
      <c r="W26" s="111"/>
      <c r="X26" s="111"/>
      <c r="Y26" s="110"/>
      <c r="Z26" s="295">
        <f t="shared" si="7"/>
        <v>79</v>
      </c>
      <c r="AA26" s="298">
        <f t="shared" si="8"/>
        <v>14.90566037735849</v>
      </c>
      <c r="AB26" s="301" t="str">
        <f t="shared" si="9"/>
        <v>3/49</v>
      </c>
      <c r="AC26" s="338" t="str">
        <f t="shared" si="10"/>
        <v>B</v>
      </c>
      <c r="AD26" s="332" t="str">
        <f t="shared" si="11"/>
        <v>Manque 12 Cotes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10</v>
      </c>
      <c r="H27" s="110"/>
      <c r="I27" s="111"/>
      <c r="J27" s="111"/>
      <c r="K27" s="111"/>
      <c r="L27" s="111"/>
      <c r="M27" s="111">
        <v>15</v>
      </c>
      <c r="N27" s="111"/>
      <c r="O27" s="111">
        <v>6</v>
      </c>
      <c r="P27" s="111">
        <v>24</v>
      </c>
      <c r="Q27" s="111">
        <v>20</v>
      </c>
      <c r="R27" s="111"/>
      <c r="S27" s="111"/>
      <c r="T27" s="111"/>
      <c r="U27" s="111"/>
      <c r="V27" s="111"/>
      <c r="W27" s="111"/>
      <c r="X27" s="111"/>
      <c r="Y27" s="110"/>
      <c r="Z27" s="295">
        <f t="shared" si="7"/>
        <v>75</v>
      </c>
      <c r="AA27" s="298">
        <f t="shared" si="8"/>
        <v>14.150943396226415</v>
      </c>
      <c r="AB27" s="301" t="str">
        <f t="shared" si="9"/>
        <v>5/49</v>
      </c>
      <c r="AC27" s="338" t="str">
        <f t="shared" si="10"/>
        <v>B</v>
      </c>
      <c r="AD27" s="332" t="str">
        <f t="shared" si="11"/>
        <v>Manque 12 Cotes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/>
      <c r="H28" s="110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0"/>
      <c r="Z28" s="295">
        <f t="shared" si="7"/>
        <v>0</v>
      </c>
      <c r="AA28" s="298">
        <f t="shared" si="8"/>
        <v>0</v>
      </c>
      <c r="AB28" s="301" t="str">
        <f t="shared" si="9"/>
        <v>43/49</v>
      </c>
      <c r="AC28" s="338" t="str">
        <f t="shared" si="10"/>
        <v>B</v>
      </c>
      <c r="AD28" s="332" t="str">
        <f t="shared" si="11"/>
        <v>Manque 17 Cotes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9</v>
      </c>
      <c r="H29" s="110"/>
      <c r="I29" s="111"/>
      <c r="J29" s="111"/>
      <c r="K29" s="111"/>
      <c r="L29" s="111"/>
      <c r="M29" s="111">
        <v>15</v>
      </c>
      <c r="N29" s="111"/>
      <c r="O29" s="111">
        <v>16</v>
      </c>
      <c r="P29" s="111">
        <v>7</v>
      </c>
      <c r="Q29" s="111">
        <v>24</v>
      </c>
      <c r="R29" s="111"/>
      <c r="S29" s="111"/>
      <c r="T29" s="111"/>
      <c r="U29" s="111"/>
      <c r="V29" s="111"/>
      <c r="W29" s="111"/>
      <c r="X29" s="111"/>
      <c r="Y29" s="110"/>
      <c r="Z29" s="295">
        <f t="shared" si="7"/>
        <v>71</v>
      </c>
      <c r="AA29" s="298">
        <f t="shared" si="8"/>
        <v>13.39622641509434</v>
      </c>
      <c r="AB29" s="301" t="str">
        <f t="shared" si="9"/>
        <v>7/49</v>
      </c>
      <c r="AC29" s="338" t="str">
        <f t="shared" si="10"/>
        <v>B</v>
      </c>
      <c r="AD29" s="332" t="str">
        <f t="shared" si="11"/>
        <v>Manque 12 Cotes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2</v>
      </c>
      <c r="H30" s="110"/>
      <c r="I30" s="111"/>
      <c r="J30" s="111"/>
      <c r="K30" s="111"/>
      <c r="L30" s="111"/>
      <c r="M30" s="111">
        <v>15</v>
      </c>
      <c r="N30" s="111"/>
      <c r="O30" s="111">
        <v>10</v>
      </c>
      <c r="P30" s="111">
        <v>23</v>
      </c>
      <c r="Q30" s="111">
        <v>14</v>
      </c>
      <c r="R30" s="111"/>
      <c r="S30" s="111"/>
      <c r="T30" s="111"/>
      <c r="U30" s="111"/>
      <c r="V30" s="111"/>
      <c r="W30" s="111"/>
      <c r="X30" s="111"/>
      <c r="Y30" s="110"/>
      <c r="Z30" s="295">
        <f t="shared" si="7"/>
        <v>64</v>
      </c>
      <c r="AA30" s="298">
        <f t="shared" si="8"/>
        <v>12.075471698113208</v>
      </c>
      <c r="AB30" s="301" t="str">
        <f t="shared" si="9"/>
        <v>13/49</v>
      </c>
      <c r="AC30" s="338" t="str">
        <f t="shared" si="10"/>
        <v>B</v>
      </c>
      <c r="AD30" s="332" t="str">
        <f t="shared" si="11"/>
        <v>Manque 12 Cotes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5</v>
      </c>
      <c r="H31" s="110"/>
      <c r="I31" s="111"/>
      <c r="J31" s="111"/>
      <c r="K31" s="111"/>
      <c r="L31" s="111"/>
      <c r="M31" s="111">
        <v>10</v>
      </c>
      <c r="N31" s="111"/>
      <c r="O31" s="111">
        <v>10</v>
      </c>
      <c r="P31" s="111">
        <v>20</v>
      </c>
      <c r="Q31" s="111">
        <v>15</v>
      </c>
      <c r="R31" s="111"/>
      <c r="S31" s="111"/>
      <c r="T31" s="111"/>
      <c r="U31" s="111"/>
      <c r="V31" s="111"/>
      <c r="W31" s="111"/>
      <c r="X31" s="111"/>
      <c r="Y31" s="110"/>
      <c r="Z31" s="295">
        <f t="shared" si="7"/>
        <v>60</v>
      </c>
      <c r="AA31" s="298">
        <f t="shared" si="8"/>
        <v>11.320754716981133</v>
      </c>
      <c r="AB31" s="301" t="str">
        <f t="shared" si="9"/>
        <v>24/49</v>
      </c>
      <c r="AC31" s="338" t="str">
        <f t="shared" si="10"/>
        <v>B</v>
      </c>
      <c r="AD31" s="332" t="str">
        <f t="shared" si="11"/>
        <v>Manque 12 Cotes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2</v>
      </c>
      <c r="H32" s="110"/>
      <c r="I32" s="111"/>
      <c r="J32" s="111"/>
      <c r="K32" s="111"/>
      <c r="L32" s="111"/>
      <c r="M32" s="111">
        <v>5</v>
      </c>
      <c r="N32" s="111"/>
      <c r="O32" s="111">
        <v>12</v>
      </c>
      <c r="P32" s="111">
        <v>23</v>
      </c>
      <c r="Q32" s="111">
        <v>17</v>
      </c>
      <c r="R32" s="111"/>
      <c r="S32" s="111"/>
      <c r="T32" s="111"/>
      <c r="U32" s="111"/>
      <c r="V32" s="111"/>
      <c r="W32" s="111"/>
      <c r="X32" s="111"/>
      <c r="Y32" s="110"/>
      <c r="Z32" s="295">
        <f t="shared" si="7"/>
        <v>59</v>
      </c>
      <c r="AA32" s="298">
        <f t="shared" si="8"/>
        <v>11.132075471698114</v>
      </c>
      <c r="AB32" s="301" t="str">
        <f t="shared" si="9"/>
        <v>25/49</v>
      </c>
      <c r="AC32" s="338" t="str">
        <f t="shared" si="10"/>
        <v>B</v>
      </c>
      <c r="AD32" s="332" t="str">
        <f t="shared" si="11"/>
        <v>Manque 12 Cotes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7</v>
      </c>
      <c r="H33" s="110"/>
      <c r="I33" s="111"/>
      <c r="J33" s="111"/>
      <c r="K33" s="111"/>
      <c r="L33" s="111"/>
      <c r="M33" s="111">
        <v>15</v>
      </c>
      <c r="N33" s="111"/>
      <c r="O33" s="111">
        <v>11</v>
      </c>
      <c r="P33" s="111">
        <v>1</v>
      </c>
      <c r="Q33" s="111">
        <v>16</v>
      </c>
      <c r="R33" s="111"/>
      <c r="S33" s="111"/>
      <c r="T33" s="111"/>
      <c r="U33" s="111"/>
      <c r="V33" s="111"/>
      <c r="W33" s="111"/>
      <c r="X33" s="111"/>
      <c r="Y33" s="110"/>
      <c r="Z33" s="295">
        <f t="shared" si="7"/>
        <v>50</v>
      </c>
      <c r="AA33" s="298">
        <f t="shared" si="8"/>
        <v>9.433962264150944</v>
      </c>
      <c r="AB33" s="301" t="str">
        <f t="shared" si="9"/>
        <v>35/49</v>
      </c>
      <c r="AC33" s="338" t="str">
        <f t="shared" si="10"/>
        <v>B</v>
      </c>
      <c r="AD33" s="332" t="str">
        <f t="shared" si="11"/>
        <v>Manque 12 Cotes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/>
      <c r="H34" s="110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0"/>
      <c r="Z34" s="295">
        <f t="shared" si="7"/>
        <v>0</v>
      </c>
      <c r="AA34" s="298">
        <f t="shared" si="8"/>
        <v>0</v>
      </c>
      <c r="AB34" s="301" t="str">
        <f t="shared" si="9"/>
        <v>43/49</v>
      </c>
      <c r="AC34" s="338" t="str">
        <f t="shared" si="10"/>
        <v>B</v>
      </c>
      <c r="AD34" s="332" t="str">
        <f t="shared" si="11"/>
        <v>Manque 17 Cotes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2</v>
      </c>
      <c r="H35" s="110"/>
      <c r="I35" s="111"/>
      <c r="J35" s="111"/>
      <c r="K35" s="111"/>
      <c r="L35" s="111"/>
      <c r="M35" s="111">
        <v>10</v>
      </c>
      <c r="N35" s="111"/>
      <c r="O35" s="111">
        <v>11</v>
      </c>
      <c r="P35" s="111">
        <v>18</v>
      </c>
      <c r="Q35" s="111">
        <v>14</v>
      </c>
      <c r="R35" s="111"/>
      <c r="S35" s="111"/>
      <c r="T35" s="111"/>
      <c r="U35" s="111"/>
      <c r="V35" s="111"/>
      <c r="W35" s="111"/>
      <c r="X35" s="111"/>
      <c r="Y35" s="110"/>
      <c r="Z35" s="295">
        <f t="shared" si="7"/>
        <v>55</v>
      </c>
      <c r="AA35" s="298">
        <f t="shared" si="8"/>
        <v>10.377358490566039</v>
      </c>
      <c r="AB35" s="301" t="str">
        <f t="shared" si="9"/>
        <v>30/49</v>
      </c>
      <c r="AC35" s="338" t="str">
        <f t="shared" si="10"/>
        <v>B</v>
      </c>
      <c r="AD35" s="332" t="str">
        <f t="shared" si="11"/>
        <v>Manque 12 Cotes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8</v>
      </c>
      <c r="H36" s="110"/>
      <c r="I36" s="111"/>
      <c r="J36" s="111"/>
      <c r="K36" s="111"/>
      <c r="L36" s="111"/>
      <c r="M36" s="111">
        <v>5</v>
      </c>
      <c r="N36" s="111"/>
      <c r="O36" s="111">
        <v>14</v>
      </c>
      <c r="P36" s="111">
        <v>20</v>
      </c>
      <c r="Q36" s="111">
        <v>15</v>
      </c>
      <c r="R36" s="111"/>
      <c r="S36" s="111"/>
      <c r="T36" s="111"/>
      <c r="U36" s="111"/>
      <c r="V36" s="111"/>
      <c r="W36" s="111"/>
      <c r="X36" s="111"/>
      <c r="Y36" s="110"/>
      <c r="Z36" s="295">
        <f t="shared" si="7"/>
        <v>62</v>
      </c>
      <c r="AA36" s="298">
        <f t="shared" si="8"/>
        <v>11.69811320754717</v>
      </c>
      <c r="AB36" s="301" t="str">
        <f t="shared" si="9"/>
        <v>20/49</v>
      </c>
      <c r="AC36" s="338" t="str">
        <f t="shared" si="10"/>
        <v>B</v>
      </c>
      <c r="AD36" s="332" t="str">
        <f t="shared" si="11"/>
        <v>Manque 12 Cotes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8</v>
      </c>
      <c r="H37" s="110"/>
      <c r="I37" s="111"/>
      <c r="J37" s="111"/>
      <c r="K37" s="111"/>
      <c r="L37" s="111"/>
      <c r="M37" s="111">
        <v>15</v>
      </c>
      <c r="N37" s="111"/>
      <c r="O37" s="111">
        <v>11</v>
      </c>
      <c r="P37" s="111">
        <v>9</v>
      </c>
      <c r="Q37" s="111">
        <v>11</v>
      </c>
      <c r="R37" s="111"/>
      <c r="S37" s="111"/>
      <c r="T37" s="111"/>
      <c r="U37" s="111"/>
      <c r="V37" s="111"/>
      <c r="W37" s="111"/>
      <c r="X37" s="111"/>
      <c r="Y37" s="110"/>
      <c r="Z37" s="295">
        <f t="shared" si="7"/>
        <v>54</v>
      </c>
      <c r="AA37" s="298">
        <f t="shared" si="8"/>
        <v>10.188679245283019</v>
      </c>
      <c r="AB37" s="301" t="str">
        <f t="shared" si="9"/>
        <v>31/49</v>
      </c>
      <c r="AC37" s="338" t="str">
        <f t="shared" si="10"/>
        <v>B</v>
      </c>
      <c r="AD37" s="332" t="str">
        <f t="shared" si="11"/>
        <v>Manque 12 Cotes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8</v>
      </c>
      <c r="H38" s="110"/>
      <c r="I38" s="111"/>
      <c r="J38" s="111"/>
      <c r="K38" s="111"/>
      <c r="L38" s="111"/>
      <c r="M38" s="111">
        <v>15</v>
      </c>
      <c r="N38" s="111"/>
      <c r="O38" s="111">
        <v>14</v>
      </c>
      <c r="P38" s="111">
        <v>18</v>
      </c>
      <c r="Q38" s="111">
        <v>27</v>
      </c>
      <c r="R38" s="111"/>
      <c r="S38" s="111"/>
      <c r="T38" s="111"/>
      <c r="U38" s="111"/>
      <c r="V38" s="111"/>
      <c r="W38" s="111"/>
      <c r="X38" s="111"/>
      <c r="Y38" s="110"/>
      <c r="Z38" s="295">
        <f t="shared" si="7"/>
        <v>82</v>
      </c>
      <c r="AA38" s="298">
        <f t="shared" si="8"/>
        <v>15.471698113207546</v>
      </c>
      <c r="AB38" s="301" t="str">
        <f t="shared" si="9"/>
        <v>2/49</v>
      </c>
      <c r="AC38" s="338" t="str">
        <f t="shared" si="10"/>
        <v>B</v>
      </c>
      <c r="AD38" s="332" t="str">
        <f t="shared" si="11"/>
        <v>Manque 12 Cotes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2</v>
      </c>
      <c r="H39" s="110"/>
      <c r="I39" s="111"/>
      <c r="J39" s="111"/>
      <c r="K39" s="111"/>
      <c r="L39" s="111"/>
      <c r="M39" s="111">
        <v>5</v>
      </c>
      <c r="N39" s="111"/>
      <c r="O39" s="111">
        <v>9</v>
      </c>
      <c r="P39" s="111">
        <v>19</v>
      </c>
      <c r="Q39" s="111">
        <v>24</v>
      </c>
      <c r="R39" s="111"/>
      <c r="S39" s="111"/>
      <c r="T39" s="111"/>
      <c r="U39" s="111"/>
      <c r="V39" s="111"/>
      <c r="W39" s="111"/>
      <c r="X39" s="111"/>
      <c r="Y39" s="110"/>
      <c r="Z39" s="295">
        <f t="shared" si="7"/>
        <v>59</v>
      </c>
      <c r="AA39" s="298">
        <f t="shared" si="8"/>
        <v>11.132075471698114</v>
      </c>
      <c r="AB39" s="301" t="str">
        <f t="shared" si="9"/>
        <v>25/49</v>
      </c>
      <c r="AC39" s="338" t="str">
        <f t="shared" si="10"/>
        <v>B</v>
      </c>
      <c r="AD39" s="332" t="str">
        <f t="shared" si="11"/>
        <v>Manque 12 Cotes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1</v>
      </c>
      <c r="H40" s="110"/>
      <c r="I40" s="111"/>
      <c r="J40" s="111"/>
      <c r="K40" s="111"/>
      <c r="L40" s="111"/>
      <c r="M40" s="111">
        <v>10</v>
      </c>
      <c r="N40" s="111"/>
      <c r="O40" s="111">
        <v>15</v>
      </c>
      <c r="P40" s="111">
        <v>20</v>
      </c>
      <c r="Q40" s="111">
        <v>1</v>
      </c>
      <c r="R40" s="111"/>
      <c r="S40" s="111"/>
      <c r="T40" s="111"/>
      <c r="U40" s="111"/>
      <c r="V40" s="111"/>
      <c r="W40" s="111"/>
      <c r="X40" s="111"/>
      <c r="Y40" s="110"/>
      <c r="Z40" s="295">
        <f t="shared" si="7"/>
        <v>47</v>
      </c>
      <c r="AA40" s="298">
        <f t="shared" si="8"/>
        <v>8.8679245283018862</v>
      </c>
      <c r="AB40" s="301" t="str">
        <f t="shared" si="9"/>
        <v>40/49</v>
      </c>
      <c r="AC40" s="338" t="str">
        <f t="shared" si="10"/>
        <v>B</v>
      </c>
      <c r="AD40" s="332" t="str">
        <f t="shared" si="11"/>
        <v>Manque 12 Cotes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2</v>
      </c>
      <c r="H41" s="110"/>
      <c r="I41" s="111"/>
      <c r="J41" s="111"/>
      <c r="K41" s="111"/>
      <c r="L41" s="111"/>
      <c r="M41" s="111">
        <v>10</v>
      </c>
      <c r="N41" s="111"/>
      <c r="O41" s="111">
        <v>8</v>
      </c>
      <c r="P41" s="111">
        <v>18</v>
      </c>
      <c r="Q41" s="111">
        <v>10</v>
      </c>
      <c r="R41" s="111"/>
      <c r="S41" s="111"/>
      <c r="T41" s="111"/>
      <c r="U41" s="111"/>
      <c r="V41" s="111"/>
      <c r="W41" s="111"/>
      <c r="X41" s="111"/>
      <c r="Y41" s="110"/>
      <c r="Z41" s="295">
        <f t="shared" si="7"/>
        <v>48</v>
      </c>
      <c r="AA41" s="298">
        <f t="shared" si="8"/>
        <v>9.0566037735849054</v>
      </c>
      <c r="AB41" s="301" t="str">
        <f t="shared" si="9"/>
        <v>39/49</v>
      </c>
      <c r="AC41" s="338" t="str">
        <f t="shared" si="10"/>
        <v>B</v>
      </c>
      <c r="AD41" s="332" t="str">
        <f t="shared" si="11"/>
        <v>Manque 12 Cotes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2</v>
      </c>
      <c r="H42" s="110"/>
      <c r="I42" s="111"/>
      <c r="J42" s="111"/>
      <c r="K42" s="111"/>
      <c r="L42" s="111"/>
      <c r="M42" s="111">
        <v>10</v>
      </c>
      <c r="N42" s="111"/>
      <c r="O42" s="111">
        <v>14</v>
      </c>
      <c r="P42" s="111">
        <v>20</v>
      </c>
      <c r="Q42" s="111">
        <v>18</v>
      </c>
      <c r="R42" s="111"/>
      <c r="S42" s="111"/>
      <c r="T42" s="111"/>
      <c r="U42" s="111"/>
      <c r="V42" s="111"/>
      <c r="W42" s="111"/>
      <c r="X42" s="111"/>
      <c r="Y42" s="110"/>
      <c r="Z42" s="295">
        <f t="shared" si="7"/>
        <v>64</v>
      </c>
      <c r="AA42" s="298">
        <f t="shared" si="8"/>
        <v>12.075471698113208</v>
      </c>
      <c r="AB42" s="301" t="str">
        <f t="shared" si="9"/>
        <v>13/49</v>
      </c>
      <c r="AC42" s="338" t="str">
        <f t="shared" si="10"/>
        <v>B</v>
      </c>
      <c r="AD42" s="332" t="str">
        <f t="shared" si="11"/>
        <v>Manque 12 Cotes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1</v>
      </c>
      <c r="H43" s="110"/>
      <c r="I43" s="111"/>
      <c r="J43" s="111"/>
      <c r="K43" s="111"/>
      <c r="L43" s="111"/>
      <c r="M43" s="111">
        <v>15</v>
      </c>
      <c r="N43" s="111"/>
      <c r="O43" s="111">
        <v>8</v>
      </c>
      <c r="P43" s="111">
        <v>23</v>
      </c>
      <c r="Q43" s="111">
        <v>17</v>
      </c>
      <c r="R43" s="111"/>
      <c r="S43" s="111"/>
      <c r="T43" s="111"/>
      <c r="U43" s="111"/>
      <c r="V43" s="111"/>
      <c r="W43" s="111"/>
      <c r="X43" s="111"/>
      <c r="Y43" s="110"/>
      <c r="Z43" s="295">
        <f t="shared" si="7"/>
        <v>64</v>
      </c>
      <c r="AA43" s="298">
        <f t="shared" si="8"/>
        <v>12.075471698113208</v>
      </c>
      <c r="AB43" s="301" t="str">
        <f t="shared" si="9"/>
        <v>13/49</v>
      </c>
      <c r="AC43" s="338" t="str">
        <f t="shared" si="10"/>
        <v>B</v>
      </c>
      <c r="AD43" s="332" t="str">
        <f t="shared" si="11"/>
        <v>Manque 12 Cotes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9</v>
      </c>
      <c r="H44" s="110"/>
      <c r="I44" s="111"/>
      <c r="J44" s="111"/>
      <c r="K44" s="111"/>
      <c r="L44" s="111"/>
      <c r="M44" s="111">
        <v>15</v>
      </c>
      <c r="N44" s="111"/>
      <c r="O44" s="111">
        <v>14</v>
      </c>
      <c r="P44" s="111">
        <v>13</v>
      </c>
      <c r="Q44" s="111">
        <v>1</v>
      </c>
      <c r="R44" s="111"/>
      <c r="S44" s="111"/>
      <c r="T44" s="111"/>
      <c r="U44" s="111"/>
      <c r="V44" s="111"/>
      <c r="W44" s="111"/>
      <c r="X44" s="111"/>
      <c r="Y44" s="110"/>
      <c r="Z44" s="295">
        <f t="shared" si="7"/>
        <v>52</v>
      </c>
      <c r="AA44" s="298">
        <f t="shared" si="8"/>
        <v>9.8113207547169825</v>
      </c>
      <c r="AB44" s="301" t="str">
        <f t="shared" si="9"/>
        <v>34/49</v>
      </c>
      <c r="AC44" s="338" t="str">
        <f t="shared" si="10"/>
        <v>B</v>
      </c>
      <c r="AD44" s="332" t="str">
        <f t="shared" si="11"/>
        <v>Manque 12 Cotes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9</v>
      </c>
      <c r="H45" s="110"/>
      <c r="I45" s="111"/>
      <c r="J45" s="111"/>
      <c r="K45" s="111"/>
      <c r="L45" s="111"/>
      <c r="M45" s="111">
        <v>10</v>
      </c>
      <c r="N45" s="111"/>
      <c r="O45" s="111">
        <v>13</v>
      </c>
      <c r="P45" s="111">
        <v>20</v>
      </c>
      <c r="Q45" s="111">
        <v>14</v>
      </c>
      <c r="R45" s="111"/>
      <c r="S45" s="111"/>
      <c r="T45" s="111"/>
      <c r="U45" s="111"/>
      <c r="V45" s="111"/>
      <c r="W45" s="111"/>
      <c r="X45" s="111"/>
      <c r="Y45" s="110"/>
      <c r="Z45" s="295">
        <f t="shared" si="7"/>
        <v>66</v>
      </c>
      <c r="AA45" s="298">
        <f t="shared" si="8"/>
        <v>12.452830188679245</v>
      </c>
      <c r="AB45" s="301" t="str">
        <f t="shared" si="9"/>
        <v>11/49</v>
      </c>
      <c r="AC45" s="338" t="str">
        <f t="shared" si="10"/>
        <v>B</v>
      </c>
      <c r="AD45" s="332" t="str">
        <f t="shared" si="11"/>
        <v>Manque 12 Cotes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9</v>
      </c>
      <c r="H46" s="110"/>
      <c r="I46" s="111"/>
      <c r="J46" s="111"/>
      <c r="K46" s="111"/>
      <c r="L46" s="111"/>
      <c r="M46" s="111">
        <v>10</v>
      </c>
      <c r="N46" s="111"/>
      <c r="O46" s="111">
        <v>8</v>
      </c>
      <c r="P46" s="111">
        <v>21</v>
      </c>
      <c r="Q46" s="111">
        <v>17</v>
      </c>
      <c r="R46" s="111"/>
      <c r="S46" s="111"/>
      <c r="T46" s="111"/>
      <c r="U46" s="111"/>
      <c r="V46" s="111"/>
      <c r="W46" s="111"/>
      <c r="X46" s="111"/>
      <c r="Y46" s="110"/>
      <c r="Z46" s="295">
        <f t="shared" si="7"/>
        <v>65</v>
      </c>
      <c r="AA46" s="298">
        <f t="shared" si="8"/>
        <v>12.264150943396226</v>
      </c>
      <c r="AB46" s="301" t="str">
        <f t="shared" si="9"/>
        <v>12/49</v>
      </c>
      <c r="AC46" s="338" t="str">
        <f t="shared" si="10"/>
        <v>B</v>
      </c>
      <c r="AD46" s="332" t="str">
        <f t="shared" si="11"/>
        <v>Manque 12 Cotes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2</v>
      </c>
      <c r="H47" s="110"/>
      <c r="I47" s="111"/>
      <c r="J47" s="111"/>
      <c r="K47" s="111"/>
      <c r="L47" s="111"/>
      <c r="M47" s="111">
        <v>15</v>
      </c>
      <c r="N47" s="111"/>
      <c r="O47" s="111">
        <v>8</v>
      </c>
      <c r="P47" s="111">
        <v>23</v>
      </c>
      <c r="Q47" s="111">
        <v>1</v>
      </c>
      <c r="R47" s="111"/>
      <c r="S47" s="111"/>
      <c r="T47" s="111"/>
      <c r="U47" s="111"/>
      <c r="V47" s="111"/>
      <c r="W47" s="111"/>
      <c r="X47" s="111"/>
      <c r="Y47" s="110"/>
      <c r="Z47" s="295">
        <f t="shared" si="7"/>
        <v>49</v>
      </c>
      <c r="AA47" s="298">
        <f t="shared" si="8"/>
        <v>9.2452830188679247</v>
      </c>
      <c r="AB47" s="301" t="str">
        <f t="shared" si="9"/>
        <v>37/49</v>
      </c>
      <c r="AC47" s="338" t="str">
        <f t="shared" si="10"/>
        <v>B</v>
      </c>
      <c r="AD47" s="332" t="str">
        <f t="shared" si="11"/>
        <v>Manque 12 Cotes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5</v>
      </c>
      <c r="H48" s="110"/>
      <c r="I48" s="111"/>
      <c r="J48" s="111"/>
      <c r="K48" s="111"/>
      <c r="L48" s="111"/>
      <c r="M48" s="111">
        <v>10</v>
      </c>
      <c r="N48" s="111"/>
      <c r="O48" s="111">
        <v>11</v>
      </c>
      <c r="P48" s="111">
        <v>20</v>
      </c>
      <c r="Q48" s="111">
        <v>15</v>
      </c>
      <c r="R48" s="111"/>
      <c r="S48" s="111"/>
      <c r="T48" s="111"/>
      <c r="U48" s="111"/>
      <c r="V48" s="111"/>
      <c r="W48" s="111"/>
      <c r="X48" s="111"/>
      <c r="Y48" s="110"/>
      <c r="Z48" s="295">
        <f t="shared" si="7"/>
        <v>61</v>
      </c>
      <c r="AA48" s="298">
        <f t="shared" si="8"/>
        <v>11.509433962264151</v>
      </c>
      <c r="AB48" s="301" t="str">
        <f t="shared" si="9"/>
        <v>21/49</v>
      </c>
      <c r="AC48" s="338" t="str">
        <f t="shared" si="10"/>
        <v>B</v>
      </c>
      <c r="AD48" s="332" t="str">
        <f t="shared" si="11"/>
        <v>Manque 12 Cotes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5</v>
      </c>
      <c r="H49" s="110"/>
      <c r="I49" s="111"/>
      <c r="J49" s="111"/>
      <c r="K49" s="111"/>
      <c r="L49" s="111"/>
      <c r="M49" s="111">
        <v>15</v>
      </c>
      <c r="N49" s="111"/>
      <c r="O49" s="111">
        <v>13</v>
      </c>
      <c r="P49" s="111">
        <v>20</v>
      </c>
      <c r="Q49" s="111">
        <v>21</v>
      </c>
      <c r="R49" s="111"/>
      <c r="S49" s="111"/>
      <c r="T49" s="111"/>
      <c r="U49" s="111"/>
      <c r="V49" s="111"/>
      <c r="W49" s="111"/>
      <c r="X49" s="111"/>
      <c r="Y49" s="110"/>
      <c r="Z49" s="295">
        <f t="shared" si="7"/>
        <v>74</v>
      </c>
      <c r="AA49" s="298">
        <f t="shared" si="8"/>
        <v>13.962264150943396</v>
      </c>
      <c r="AB49" s="301" t="str">
        <f t="shared" si="9"/>
        <v>6/49</v>
      </c>
      <c r="AC49" s="338" t="str">
        <f t="shared" si="10"/>
        <v>B</v>
      </c>
      <c r="AD49" s="332" t="str">
        <f t="shared" si="11"/>
        <v>Manque 12 Cotes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2</v>
      </c>
      <c r="H50" s="110"/>
      <c r="I50" s="111"/>
      <c r="J50" s="111"/>
      <c r="K50" s="111"/>
      <c r="L50" s="111"/>
      <c r="M50" s="111">
        <v>10</v>
      </c>
      <c r="N50" s="111"/>
      <c r="O50" s="111">
        <v>12</v>
      </c>
      <c r="P50" s="111">
        <v>22</v>
      </c>
      <c r="Q50" s="111">
        <v>18</v>
      </c>
      <c r="R50" s="111"/>
      <c r="S50" s="111"/>
      <c r="T50" s="111"/>
      <c r="U50" s="111"/>
      <c r="V50" s="111"/>
      <c r="W50" s="111"/>
      <c r="X50" s="111"/>
      <c r="Y50" s="110"/>
      <c r="Z50" s="295">
        <f t="shared" si="7"/>
        <v>64</v>
      </c>
      <c r="AA50" s="298">
        <f t="shared" si="8"/>
        <v>12.075471698113208</v>
      </c>
      <c r="AB50" s="301" t="str">
        <f t="shared" si="9"/>
        <v>13/49</v>
      </c>
      <c r="AC50" s="338" t="str">
        <f t="shared" si="10"/>
        <v>B</v>
      </c>
      <c r="AD50" s="332" t="str">
        <f t="shared" si="11"/>
        <v>Manque 12 Cotes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2</v>
      </c>
      <c r="H51" s="110"/>
      <c r="I51" s="111"/>
      <c r="J51" s="111"/>
      <c r="K51" s="111"/>
      <c r="L51" s="111"/>
      <c r="M51" s="111">
        <v>10</v>
      </c>
      <c r="N51" s="111"/>
      <c r="O51" s="111">
        <v>9</v>
      </c>
      <c r="P51" s="111">
        <v>20</v>
      </c>
      <c r="Q51" s="111">
        <v>15</v>
      </c>
      <c r="R51" s="111"/>
      <c r="S51" s="111"/>
      <c r="T51" s="111"/>
      <c r="U51" s="111"/>
      <c r="V51" s="111"/>
      <c r="W51" s="111"/>
      <c r="X51" s="111"/>
      <c r="Y51" s="110"/>
      <c r="Z51" s="295">
        <f t="shared" si="7"/>
        <v>56</v>
      </c>
      <c r="AA51" s="298">
        <f t="shared" si="8"/>
        <v>10.566037735849058</v>
      </c>
      <c r="AB51" s="301" t="str">
        <f t="shared" si="9"/>
        <v>29/49</v>
      </c>
      <c r="AC51" s="338" t="str">
        <f t="shared" si="10"/>
        <v>B</v>
      </c>
      <c r="AD51" s="332" t="str">
        <f t="shared" si="11"/>
        <v>Manque 12 Cotes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2</v>
      </c>
      <c r="H52" s="110"/>
      <c r="I52" s="111"/>
      <c r="J52" s="111"/>
      <c r="K52" s="111"/>
      <c r="L52" s="111"/>
      <c r="M52" s="111">
        <v>5</v>
      </c>
      <c r="N52" s="111"/>
      <c r="O52" s="111">
        <v>9</v>
      </c>
      <c r="P52" s="111">
        <v>23</v>
      </c>
      <c r="Q52" s="111">
        <v>19</v>
      </c>
      <c r="R52" s="111"/>
      <c r="S52" s="111"/>
      <c r="T52" s="111"/>
      <c r="U52" s="111"/>
      <c r="V52" s="111"/>
      <c r="W52" s="111"/>
      <c r="X52" s="111"/>
      <c r="Y52" s="110"/>
      <c r="Z52" s="295">
        <f t="shared" si="7"/>
        <v>58</v>
      </c>
      <c r="AA52" s="298">
        <f t="shared" si="8"/>
        <v>10.943396226415095</v>
      </c>
      <c r="AB52" s="301" t="str">
        <f t="shared" si="9"/>
        <v>27/49</v>
      </c>
      <c r="AC52" s="338" t="str">
        <f t="shared" si="10"/>
        <v>B</v>
      </c>
      <c r="AD52" s="332" t="str">
        <f t="shared" si="11"/>
        <v>Manque 12 Cotes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1</v>
      </c>
      <c r="H53" s="110"/>
      <c r="I53" s="111"/>
      <c r="J53" s="111"/>
      <c r="K53" s="111"/>
      <c r="L53" s="111"/>
      <c r="M53" s="111">
        <v>5</v>
      </c>
      <c r="N53" s="111"/>
      <c r="O53" s="111">
        <v>1</v>
      </c>
      <c r="P53" s="111">
        <v>24</v>
      </c>
      <c r="Q53" s="111">
        <v>19</v>
      </c>
      <c r="R53" s="111"/>
      <c r="S53" s="111"/>
      <c r="T53" s="111"/>
      <c r="U53" s="111"/>
      <c r="V53" s="111"/>
      <c r="W53" s="111"/>
      <c r="X53" s="111"/>
      <c r="Y53" s="110"/>
      <c r="Z53" s="295">
        <f t="shared" si="7"/>
        <v>50</v>
      </c>
      <c r="AA53" s="298">
        <f t="shared" si="8"/>
        <v>9.433962264150944</v>
      </c>
      <c r="AB53" s="301" t="str">
        <f t="shared" si="9"/>
        <v>35/49</v>
      </c>
      <c r="AC53" s="338" t="str">
        <f t="shared" si="10"/>
        <v>B</v>
      </c>
      <c r="AD53" s="332" t="str">
        <f t="shared" si="11"/>
        <v>Manque 12 Cotes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2</v>
      </c>
      <c r="H54" s="110"/>
      <c r="I54" s="111"/>
      <c r="J54" s="111"/>
      <c r="K54" s="111"/>
      <c r="L54" s="111"/>
      <c r="M54" s="111">
        <v>15</v>
      </c>
      <c r="N54" s="111"/>
      <c r="O54" s="111">
        <v>13</v>
      </c>
      <c r="P54" s="111">
        <v>20</v>
      </c>
      <c r="Q54" s="111">
        <v>27</v>
      </c>
      <c r="R54" s="111"/>
      <c r="S54" s="111"/>
      <c r="T54" s="111"/>
      <c r="U54" s="111"/>
      <c r="V54" s="111"/>
      <c r="W54" s="111"/>
      <c r="X54" s="111"/>
      <c r="Y54" s="110"/>
      <c r="Z54" s="295">
        <f t="shared" si="7"/>
        <v>77</v>
      </c>
      <c r="AA54" s="298">
        <f t="shared" si="8"/>
        <v>14.528301886792452</v>
      </c>
      <c r="AB54" s="301" t="str">
        <f t="shared" si="9"/>
        <v>4/49</v>
      </c>
      <c r="AC54" s="338" t="str">
        <f t="shared" si="10"/>
        <v>B</v>
      </c>
      <c r="AD54" s="332" t="str">
        <f t="shared" si="11"/>
        <v>Manque 12 Cotes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2</v>
      </c>
      <c r="H55" s="110"/>
      <c r="I55" s="111"/>
      <c r="J55" s="111"/>
      <c r="K55" s="111"/>
      <c r="L55" s="111"/>
      <c r="M55" s="111">
        <v>15</v>
      </c>
      <c r="N55" s="111"/>
      <c r="O55" s="111">
        <v>10</v>
      </c>
      <c r="P55" s="111">
        <v>20</v>
      </c>
      <c r="Q55" s="111">
        <v>14</v>
      </c>
      <c r="R55" s="111"/>
      <c r="S55" s="111"/>
      <c r="T55" s="111"/>
      <c r="U55" s="111"/>
      <c r="V55" s="111"/>
      <c r="W55" s="111"/>
      <c r="X55" s="111"/>
      <c r="Y55" s="110"/>
      <c r="Z55" s="295">
        <f t="shared" si="7"/>
        <v>61</v>
      </c>
      <c r="AA55" s="298">
        <f t="shared" si="8"/>
        <v>11.509433962264151</v>
      </c>
      <c r="AB55" s="301" t="str">
        <f t="shared" si="9"/>
        <v>21/49</v>
      </c>
      <c r="AC55" s="338" t="str">
        <f t="shared" si="10"/>
        <v>B</v>
      </c>
      <c r="AD55" s="332" t="str">
        <f t="shared" si="11"/>
        <v>Manque 12 Cotes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5</v>
      </c>
      <c r="H56" s="110"/>
      <c r="I56" s="111"/>
      <c r="J56" s="111"/>
      <c r="K56" s="111"/>
      <c r="L56" s="111"/>
      <c r="M56" s="111">
        <v>15</v>
      </c>
      <c r="N56" s="111"/>
      <c r="O56" s="111">
        <v>6</v>
      </c>
      <c r="P56" s="111">
        <v>27</v>
      </c>
      <c r="Q56" s="111">
        <v>15</v>
      </c>
      <c r="R56" s="111"/>
      <c r="S56" s="111"/>
      <c r="T56" s="111"/>
      <c r="U56" s="111"/>
      <c r="V56" s="111"/>
      <c r="W56" s="111"/>
      <c r="X56" s="111"/>
      <c r="Y56" s="110"/>
      <c r="Z56" s="295">
        <f t="shared" si="7"/>
        <v>68</v>
      </c>
      <c r="AA56" s="298">
        <f t="shared" si="8"/>
        <v>12.830188679245284</v>
      </c>
      <c r="AB56" s="301" t="str">
        <f t="shared" si="9"/>
        <v>9/49</v>
      </c>
      <c r="AC56" s="338" t="str">
        <f t="shared" si="10"/>
        <v>B</v>
      </c>
      <c r="AD56" s="332" t="str">
        <f t="shared" si="11"/>
        <v>Manque 12 Cotes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9</v>
      </c>
      <c r="H57" s="110"/>
      <c r="I57" s="111"/>
      <c r="J57" s="111"/>
      <c r="K57" s="111"/>
      <c r="L57" s="111"/>
      <c r="M57" s="111">
        <v>10</v>
      </c>
      <c r="N57" s="111"/>
      <c r="O57" s="111">
        <v>7</v>
      </c>
      <c r="P57" s="111">
        <v>27</v>
      </c>
      <c r="Q57" s="111">
        <v>1</v>
      </c>
      <c r="R57" s="111"/>
      <c r="S57" s="111"/>
      <c r="T57" s="111"/>
      <c r="U57" s="111"/>
      <c r="V57" s="111"/>
      <c r="W57" s="111"/>
      <c r="X57" s="111"/>
      <c r="Y57" s="110"/>
      <c r="Z57" s="295">
        <f t="shared" si="7"/>
        <v>54</v>
      </c>
      <c r="AA57" s="298">
        <f t="shared" si="8"/>
        <v>10.188679245283019</v>
      </c>
      <c r="AB57" s="301" t="str">
        <f t="shared" si="9"/>
        <v>31/49</v>
      </c>
      <c r="AC57" s="338" t="str">
        <f t="shared" si="10"/>
        <v>B</v>
      </c>
      <c r="AD57" s="332" t="str">
        <f t="shared" si="11"/>
        <v>Manque 12 Cotes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8</v>
      </c>
      <c r="H58" s="110"/>
      <c r="I58" s="111"/>
      <c r="J58" s="111"/>
      <c r="K58" s="111"/>
      <c r="L58" s="111"/>
      <c r="M58" s="111">
        <v>20</v>
      </c>
      <c r="N58" s="111"/>
      <c r="O58" s="111">
        <v>10</v>
      </c>
      <c r="P58" s="111">
        <v>24</v>
      </c>
      <c r="Q58" s="111">
        <v>1</v>
      </c>
      <c r="R58" s="111"/>
      <c r="S58" s="111"/>
      <c r="T58" s="111"/>
      <c r="U58" s="111"/>
      <c r="V58" s="111"/>
      <c r="W58" s="111"/>
      <c r="X58" s="111"/>
      <c r="Y58" s="110"/>
      <c r="Z58" s="295">
        <f t="shared" si="7"/>
        <v>63</v>
      </c>
      <c r="AA58" s="298">
        <f t="shared" si="8"/>
        <v>11.886792452830189</v>
      </c>
      <c r="AB58" s="301" t="str">
        <f t="shared" si="9"/>
        <v>19/49</v>
      </c>
      <c r="AC58" s="338" t="str">
        <f t="shared" si="10"/>
        <v>B</v>
      </c>
      <c r="AD58" s="332" t="str">
        <f t="shared" si="11"/>
        <v>Manque 12 Cotes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1</v>
      </c>
      <c r="H59" s="110"/>
      <c r="I59" s="111"/>
      <c r="J59" s="111"/>
      <c r="K59" s="111"/>
      <c r="L59" s="111"/>
      <c r="M59" s="111">
        <v>15</v>
      </c>
      <c r="N59" s="111"/>
      <c r="O59" s="111">
        <v>7</v>
      </c>
      <c r="P59" s="111">
        <v>25</v>
      </c>
      <c r="Q59" s="111">
        <v>1</v>
      </c>
      <c r="R59" s="111"/>
      <c r="S59" s="111"/>
      <c r="T59" s="111"/>
      <c r="U59" s="111"/>
      <c r="V59" s="111"/>
      <c r="W59" s="111"/>
      <c r="X59" s="111"/>
      <c r="Y59" s="110"/>
      <c r="Z59" s="295">
        <f t="shared" si="7"/>
        <v>49</v>
      </c>
      <c r="AA59" s="298">
        <f t="shared" si="8"/>
        <v>9.2452830188679247</v>
      </c>
      <c r="AB59" s="301" t="str">
        <f t="shared" si="9"/>
        <v>37/49</v>
      </c>
      <c r="AC59" s="338" t="str">
        <f t="shared" si="10"/>
        <v>B</v>
      </c>
      <c r="AD59" s="332" t="str">
        <f t="shared" si="11"/>
        <v>Manque 12 Cotes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2</v>
      </c>
      <c r="H60" s="110"/>
      <c r="I60" s="111"/>
      <c r="J60" s="111"/>
      <c r="K60" s="111"/>
      <c r="L60" s="111"/>
      <c r="M60" s="111">
        <v>4</v>
      </c>
      <c r="N60" s="111"/>
      <c r="O60" s="111">
        <v>8</v>
      </c>
      <c r="P60" s="111">
        <v>18</v>
      </c>
      <c r="Q60" s="111">
        <v>8</v>
      </c>
      <c r="R60" s="111"/>
      <c r="S60" s="111"/>
      <c r="T60" s="111"/>
      <c r="U60" s="111"/>
      <c r="V60" s="111"/>
      <c r="W60" s="111"/>
      <c r="X60" s="111"/>
      <c r="Y60" s="110"/>
      <c r="Z60" s="295">
        <f t="shared" si="7"/>
        <v>40</v>
      </c>
      <c r="AA60" s="298">
        <f t="shared" si="8"/>
        <v>7.5471698113207548</v>
      </c>
      <c r="AB60" s="301" t="str">
        <f t="shared" si="9"/>
        <v>42/49</v>
      </c>
      <c r="AC60" s="338" t="str">
        <f t="shared" si="10"/>
        <v>B</v>
      </c>
      <c r="AD60" s="332" t="str">
        <f t="shared" si="11"/>
        <v>Manque 12 Cotes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4</v>
      </c>
      <c r="H61" s="110"/>
      <c r="I61" s="111"/>
      <c r="J61" s="111"/>
      <c r="K61" s="111"/>
      <c r="L61" s="111"/>
      <c r="M61" s="111">
        <v>5</v>
      </c>
      <c r="N61" s="111"/>
      <c r="O61" s="111">
        <v>11</v>
      </c>
      <c r="P61" s="111">
        <v>25</v>
      </c>
      <c r="Q61" s="111">
        <v>1</v>
      </c>
      <c r="R61" s="111"/>
      <c r="S61" s="111"/>
      <c r="T61" s="111"/>
      <c r="U61" s="111"/>
      <c r="V61" s="111"/>
      <c r="W61" s="111"/>
      <c r="X61" s="111"/>
      <c r="Y61" s="110"/>
      <c r="Z61" s="295">
        <f t="shared" si="7"/>
        <v>46</v>
      </c>
      <c r="AA61" s="298">
        <f t="shared" si="8"/>
        <v>8.6792452830188669</v>
      </c>
      <c r="AB61" s="301" t="str">
        <f t="shared" si="9"/>
        <v>41/49</v>
      </c>
      <c r="AC61" s="338" t="str">
        <f t="shared" si="10"/>
        <v>B</v>
      </c>
      <c r="AD61" s="332" t="str">
        <f t="shared" si="11"/>
        <v>Manque 12 Cotes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7</v>
      </c>
      <c r="H62" s="110"/>
      <c r="I62" s="111"/>
      <c r="J62" s="111"/>
      <c r="K62" s="111"/>
      <c r="L62" s="111"/>
      <c r="M62" s="111">
        <v>10</v>
      </c>
      <c r="N62" s="111"/>
      <c r="O62" s="111">
        <v>13</v>
      </c>
      <c r="P62" s="111">
        <v>20</v>
      </c>
      <c r="Q62" s="111">
        <v>11</v>
      </c>
      <c r="R62" s="111"/>
      <c r="S62" s="111"/>
      <c r="T62" s="111"/>
      <c r="U62" s="111"/>
      <c r="V62" s="111"/>
      <c r="W62" s="111"/>
      <c r="X62" s="111"/>
      <c r="Y62" s="110"/>
      <c r="Z62" s="295">
        <f t="shared" si="7"/>
        <v>61</v>
      </c>
      <c r="AA62" s="298">
        <f t="shared" si="8"/>
        <v>11.509433962264151</v>
      </c>
      <c r="AB62" s="301" t="str">
        <f t="shared" si="9"/>
        <v>21/49</v>
      </c>
      <c r="AC62" s="338" t="str">
        <f t="shared" si="10"/>
        <v>B</v>
      </c>
      <c r="AD62" s="332" t="str">
        <f t="shared" si="11"/>
        <v>Manque 12 Cotes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8</v>
      </c>
      <c r="H63" s="110"/>
      <c r="I63" s="111"/>
      <c r="J63" s="111"/>
      <c r="K63" s="111"/>
      <c r="L63" s="111"/>
      <c r="M63" s="111">
        <v>20</v>
      </c>
      <c r="N63" s="111"/>
      <c r="O63" s="111">
        <v>10</v>
      </c>
      <c r="P63" s="111">
        <v>18</v>
      </c>
      <c r="Q63" s="111">
        <v>15</v>
      </c>
      <c r="R63" s="111"/>
      <c r="S63" s="111"/>
      <c r="T63" s="111"/>
      <c r="U63" s="111"/>
      <c r="V63" s="111"/>
      <c r="W63" s="111"/>
      <c r="X63" s="111"/>
      <c r="Y63" s="110"/>
      <c r="Z63" s="295">
        <f t="shared" si="7"/>
        <v>71</v>
      </c>
      <c r="AA63" s="298">
        <f t="shared" si="8"/>
        <v>13.39622641509434</v>
      </c>
      <c r="AB63" s="301" t="str">
        <f t="shared" si="9"/>
        <v>7/49</v>
      </c>
      <c r="AC63" s="338" t="str">
        <f t="shared" si="10"/>
        <v>B</v>
      </c>
      <c r="AD63" s="332" t="str">
        <f t="shared" si="11"/>
        <v>Manque 12 Cotes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5</v>
      </c>
      <c r="H64" s="110"/>
      <c r="I64" s="111"/>
      <c r="J64" s="111"/>
      <c r="K64" s="111"/>
      <c r="L64" s="111"/>
      <c r="M64" s="111">
        <v>5</v>
      </c>
      <c r="N64" s="111"/>
      <c r="O64" s="111">
        <v>8</v>
      </c>
      <c r="P64" s="111">
        <v>21</v>
      </c>
      <c r="Q64" s="111">
        <v>18</v>
      </c>
      <c r="R64" s="111"/>
      <c r="S64" s="111"/>
      <c r="T64" s="111"/>
      <c r="U64" s="111"/>
      <c r="V64" s="111"/>
      <c r="W64" s="111"/>
      <c r="X64" s="111"/>
      <c r="Y64" s="110"/>
      <c r="Z64" s="295">
        <f t="shared" si="7"/>
        <v>57</v>
      </c>
      <c r="AA64" s="298">
        <f t="shared" si="8"/>
        <v>10.754716981132075</v>
      </c>
      <c r="AB64" s="301" t="str">
        <f t="shared" si="9"/>
        <v>28/49</v>
      </c>
      <c r="AC64" s="338" t="str">
        <f t="shared" si="10"/>
        <v>B</v>
      </c>
      <c r="AD64" s="332" t="str">
        <f t="shared" si="11"/>
        <v>Manque 12 Cotes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/>
      <c r="H65" s="110"/>
      <c r="I65" s="111"/>
      <c r="J65" s="111"/>
      <c r="K65" s="111"/>
      <c r="L65" s="111"/>
      <c r="M65" s="111">
        <v>10</v>
      </c>
      <c r="N65" s="111"/>
      <c r="O65" s="111">
        <v>10</v>
      </c>
      <c r="P65" s="111">
        <v>21</v>
      </c>
      <c r="Q65" s="111">
        <v>11.6</v>
      </c>
      <c r="R65" s="111"/>
      <c r="S65" s="111"/>
      <c r="T65" s="111"/>
      <c r="U65" s="111"/>
      <c r="V65" s="111"/>
      <c r="W65" s="111"/>
      <c r="X65" s="111"/>
      <c r="Y65" s="110"/>
      <c r="Z65" s="295">
        <f t="shared" si="7"/>
        <v>52.6</v>
      </c>
      <c r="AA65" s="298">
        <f t="shared" si="8"/>
        <v>9.9245283018867916</v>
      </c>
      <c r="AB65" s="301" t="str">
        <f t="shared" si="9"/>
        <v>33/49</v>
      </c>
      <c r="AC65" s="338" t="str">
        <f t="shared" si="10"/>
        <v>B</v>
      </c>
      <c r="AD65" s="332" t="str">
        <f t="shared" si="11"/>
        <v>Manque 13 Cotes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8"/>
        <v>0</v>
      </c>
      <c r="AB66" s="301" t="str">
        <f t="shared" si="9"/>
        <v>43/49</v>
      </c>
      <c r="AC66" s="338" t="str">
        <f t="shared" si="10"/>
        <v>B</v>
      </c>
      <c r="AD66" s="332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8"/>
        <v>0</v>
      </c>
      <c r="AB67" s="301" t="str">
        <f t="shared" si="9"/>
        <v>43/49</v>
      </c>
      <c r="AC67" s="338" t="str">
        <f t="shared" si="10"/>
        <v>B</v>
      </c>
      <c r="AD67" s="332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8"/>
        <v>0</v>
      </c>
      <c r="AB68" s="301" t="str">
        <f t="shared" si="9"/>
        <v>43/49</v>
      </c>
      <c r="AC68" s="338" t="str">
        <f t="shared" si="10"/>
        <v>B</v>
      </c>
      <c r="AD68" s="332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8"/>
        <v>0</v>
      </c>
      <c r="AB69" s="301" t="str">
        <f t="shared" si="9"/>
        <v>43/49</v>
      </c>
      <c r="AC69" s="338" t="str">
        <f t="shared" si="10"/>
        <v>B</v>
      </c>
      <c r="AD69" s="332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8"/>
        <v>0</v>
      </c>
      <c r="AB70" s="301" t="str">
        <f t="shared" si="9"/>
        <v>43/49</v>
      </c>
      <c r="AC70" s="338" t="str">
        <f t="shared" si="10"/>
        <v>B</v>
      </c>
      <c r="AD70" s="332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8"/>
        <v>0</v>
      </c>
      <c r="AB71" s="301" t="str">
        <f t="shared" si="9"/>
        <v>43/49</v>
      </c>
      <c r="AC71" s="338" t="str">
        <f t="shared" si="10"/>
        <v>B</v>
      </c>
      <c r="AD71" s="332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8"/>
        <v>0</v>
      </c>
      <c r="AB72" s="301" t="str">
        <f t="shared" si="9"/>
        <v>43/49</v>
      </c>
      <c r="AC72" s="338" t="str">
        <f t="shared" si="10"/>
        <v>B</v>
      </c>
      <c r="AD72" s="332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8"/>
        <v>0</v>
      </c>
      <c r="AB73" s="301" t="str">
        <f t="shared" si="9"/>
        <v>43/49</v>
      </c>
      <c r="AC73" s="338" t="str">
        <f t="shared" si="10"/>
        <v>B</v>
      </c>
      <c r="AD73" s="332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8"/>
        <v>0</v>
      </c>
      <c r="AB74" s="301" t="str">
        <f t="shared" si="9"/>
        <v>43/49</v>
      </c>
      <c r="AC74" s="338" t="str">
        <f t="shared" si="10"/>
        <v>B</v>
      </c>
      <c r="AD74" s="332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8"/>
        <v>0</v>
      </c>
      <c r="AB75" s="301" t="str">
        <f t="shared" si="9"/>
        <v>43/49</v>
      </c>
      <c r="AC75" s="338" t="str">
        <f t="shared" si="10"/>
        <v>B</v>
      </c>
      <c r="AD75" s="332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8"/>
        <v>0</v>
      </c>
      <c r="AB76" s="301" t="str">
        <f t="shared" si="9"/>
        <v>43/49</v>
      </c>
      <c r="AC76" s="338" t="str">
        <f t="shared" si="10"/>
        <v>B</v>
      </c>
      <c r="AD76" s="332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8"/>
        <v>0</v>
      </c>
      <c r="AB77" s="301" t="str">
        <f t="shared" si="9"/>
        <v>43/49</v>
      </c>
      <c r="AC77" s="338" t="str">
        <f t="shared" si="10"/>
        <v>B</v>
      </c>
      <c r="AD77" s="332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8"/>
        <v>0</v>
      </c>
      <c r="AB78" s="301" t="str">
        <f t="shared" si="9"/>
        <v>43/49</v>
      </c>
      <c r="AC78" s="338" t="str">
        <f t="shared" si="10"/>
        <v>B</v>
      </c>
      <c r="AD78" s="332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8"/>
        <v>0</v>
      </c>
      <c r="AB79" s="301" t="str">
        <f t="shared" si="9"/>
        <v>43/49</v>
      </c>
      <c r="AC79" s="338" t="str">
        <f t="shared" si="10"/>
        <v>B</v>
      </c>
      <c r="AD79" s="332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8"/>
        <v>0</v>
      </c>
      <c r="AB80" s="301" t="str">
        <f t="shared" si="9"/>
        <v>43/49</v>
      </c>
      <c r="AC80" s="338" t="str">
        <f t="shared" si="10"/>
        <v>B</v>
      </c>
      <c r="AD80" s="332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8"/>
        <v>0</v>
      </c>
      <c r="AB81" s="301" t="str">
        <f t="shared" si="9"/>
        <v>43/49</v>
      </c>
      <c r="AC81" s="338" t="str">
        <f t="shared" si="10"/>
        <v>B</v>
      </c>
      <c r="AD81" s="332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2">SUM(G82,I82:X82)</f>
        <v>0</v>
      </c>
      <c r="AA82" s="298">
        <f t="shared" ref="AA82:AA122" si="13">(Z82/$Z$15)*100</f>
        <v>0</v>
      </c>
      <c r="AB82" s="301" t="str">
        <f t="shared" ref="AB82:AB122" si="14">RANK(AA82,AA$17:AA$122,0) &amp;"/"&amp; COUNTA($B$17:$B$122)</f>
        <v>43/49</v>
      </c>
      <c r="AC82" s="338" t="str">
        <f t="shared" ref="AC82:AC122" si="15">IF(AA82&gt;60,"TB","B")</f>
        <v>B</v>
      </c>
      <c r="AD82" s="332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2"/>
        <v>0</v>
      </c>
      <c r="AA83" s="298">
        <f t="shared" si="13"/>
        <v>0</v>
      </c>
      <c r="AB83" s="301" t="str">
        <f t="shared" si="14"/>
        <v>43/49</v>
      </c>
      <c r="AC83" s="338" t="str">
        <f t="shared" si="15"/>
        <v>B</v>
      </c>
      <c r="AD83" s="332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2"/>
        <v>0</v>
      </c>
      <c r="AA84" s="298">
        <f t="shared" si="13"/>
        <v>0</v>
      </c>
      <c r="AB84" s="301" t="str">
        <f t="shared" si="14"/>
        <v>43/49</v>
      </c>
      <c r="AC84" s="338" t="str">
        <f t="shared" si="15"/>
        <v>B</v>
      </c>
      <c r="AD84" s="332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2"/>
        <v>0</v>
      </c>
      <c r="AA85" s="298">
        <f t="shared" si="13"/>
        <v>0</v>
      </c>
      <c r="AB85" s="301" t="str">
        <f t="shared" si="14"/>
        <v>43/49</v>
      </c>
      <c r="AC85" s="338" t="str">
        <f t="shared" si="15"/>
        <v>B</v>
      </c>
      <c r="AD85" s="332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2"/>
        <v>0</v>
      </c>
      <c r="AA86" s="298">
        <f t="shared" si="13"/>
        <v>0</v>
      </c>
      <c r="AB86" s="301" t="str">
        <f t="shared" si="14"/>
        <v>43/49</v>
      </c>
      <c r="AC86" s="338" t="str">
        <f t="shared" si="15"/>
        <v>B</v>
      </c>
      <c r="AD86" s="332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2"/>
        <v>0</v>
      </c>
      <c r="AA87" s="298">
        <f t="shared" si="13"/>
        <v>0</v>
      </c>
      <c r="AB87" s="301" t="str">
        <f t="shared" si="14"/>
        <v>43/49</v>
      </c>
      <c r="AC87" s="338" t="str">
        <f t="shared" si="15"/>
        <v>B</v>
      </c>
      <c r="AD87" s="332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2"/>
        <v>0</v>
      </c>
      <c r="AA88" s="298">
        <f t="shared" si="13"/>
        <v>0</v>
      </c>
      <c r="AB88" s="301" t="str">
        <f t="shared" si="14"/>
        <v>43/49</v>
      </c>
      <c r="AC88" s="338" t="str">
        <f t="shared" si="15"/>
        <v>B</v>
      </c>
      <c r="AD88" s="332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2"/>
        <v>0</v>
      </c>
      <c r="AA89" s="298">
        <f t="shared" si="13"/>
        <v>0</v>
      </c>
      <c r="AB89" s="301" t="str">
        <f t="shared" si="14"/>
        <v>43/49</v>
      </c>
      <c r="AC89" s="338" t="str">
        <f t="shared" si="15"/>
        <v>B</v>
      </c>
      <c r="AD89" s="332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2"/>
        <v>0</v>
      </c>
      <c r="AA90" s="298">
        <f t="shared" si="13"/>
        <v>0</v>
      </c>
      <c r="AB90" s="301" t="str">
        <f t="shared" si="14"/>
        <v>43/49</v>
      </c>
      <c r="AC90" s="338" t="str">
        <f t="shared" si="15"/>
        <v>B</v>
      </c>
      <c r="AD90" s="332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2"/>
        <v>0</v>
      </c>
      <c r="AA91" s="298">
        <f t="shared" si="13"/>
        <v>0</v>
      </c>
      <c r="AB91" s="301" t="str">
        <f t="shared" si="14"/>
        <v>43/49</v>
      </c>
      <c r="AC91" s="338" t="str">
        <f t="shared" si="15"/>
        <v>B</v>
      </c>
      <c r="AD91" s="332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2"/>
        <v>0</v>
      </c>
      <c r="AA92" s="298">
        <f t="shared" si="13"/>
        <v>0</v>
      </c>
      <c r="AB92" s="301" t="str">
        <f t="shared" si="14"/>
        <v>43/49</v>
      </c>
      <c r="AC92" s="338" t="str">
        <f t="shared" si="15"/>
        <v>B</v>
      </c>
      <c r="AD92" s="332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2"/>
        <v>0</v>
      </c>
      <c r="AA93" s="298">
        <f t="shared" si="13"/>
        <v>0</v>
      </c>
      <c r="AB93" s="301" t="str">
        <f t="shared" si="14"/>
        <v>43/49</v>
      </c>
      <c r="AC93" s="338" t="str">
        <f t="shared" si="15"/>
        <v>B</v>
      </c>
      <c r="AD93" s="332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2"/>
        <v>0</v>
      </c>
      <c r="AA94" s="298">
        <f t="shared" si="13"/>
        <v>0</v>
      </c>
      <c r="AB94" s="301" t="str">
        <f t="shared" si="14"/>
        <v>43/49</v>
      </c>
      <c r="AC94" s="338" t="str">
        <f t="shared" si="15"/>
        <v>B</v>
      </c>
      <c r="AD94" s="332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2"/>
        <v>0</v>
      </c>
      <c r="AA95" s="298">
        <f t="shared" si="13"/>
        <v>0</v>
      </c>
      <c r="AB95" s="301" t="str">
        <f t="shared" si="14"/>
        <v>43/49</v>
      </c>
      <c r="AC95" s="338" t="str">
        <f t="shared" si="15"/>
        <v>B</v>
      </c>
      <c r="AD95" s="332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2"/>
        <v>0</v>
      </c>
      <c r="AA96" s="298">
        <f t="shared" si="13"/>
        <v>0</v>
      </c>
      <c r="AB96" s="301" t="str">
        <f t="shared" si="14"/>
        <v>43/49</v>
      </c>
      <c r="AC96" s="338" t="str">
        <f t="shared" si="15"/>
        <v>B</v>
      </c>
      <c r="AD96" s="332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2"/>
        <v>0</v>
      </c>
      <c r="AA97" s="298">
        <f t="shared" si="13"/>
        <v>0</v>
      </c>
      <c r="AB97" s="301" t="str">
        <f t="shared" si="14"/>
        <v>43/49</v>
      </c>
      <c r="AC97" s="338" t="str">
        <f t="shared" si="15"/>
        <v>B</v>
      </c>
      <c r="AD97" s="332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2"/>
        <v>0</v>
      </c>
      <c r="AA98" s="298">
        <f t="shared" si="13"/>
        <v>0</v>
      </c>
      <c r="AB98" s="301" t="str">
        <f t="shared" si="14"/>
        <v>43/49</v>
      </c>
      <c r="AC98" s="338" t="str">
        <f t="shared" si="15"/>
        <v>B</v>
      </c>
      <c r="AD98" s="332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2"/>
        <v>0</v>
      </c>
      <c r="AA99" s="298">
        <f t="shared" si="13"/>
        <v>0</v>
      </c>
      <c r="AB99" s="301" t="str">
        <f t="shared" si="14"/>
        <v>43/49</v>
      </c>
      <c r="AC99" s="338" t="str">
        <f t="shared" si="15"/>
        <v>B</v>
      </c>
      <c r="AD99" s="332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2"/>
        <v>0</v>
      </c>
      <c r="AA100" s="298">
        <f t="shared" si="13"/>
        <v>0</v>
      </c>
      <c r="AB100" s="301" t="str">
        <f t="shared" si="14"/>
        <v>43/49</v>
      </c>
      <c r="AC100" s="338" t="str">
        <f t="shared" si="15"/>
        <v>B</v>
      </c>
      <c r="AD100" s="332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2"/>
        <v>0</v>
      </c>
      <c r="AA101" s="298">
        <f t="shared" si="13"/>
        <v>0</v>
      </c>
      <c r="AB101" s="301" t="str">
        <f t="shared" si="14"/>
        <v>43/49</v>
      </c>
      <c r="AC101" s="338" t="str">
        <f t="shared" si="15"/>
        <v>B</v>
      </c>
      <c r="AD101" s="332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2"/>
        <v>0</v>
      </c>
      <c r="AA102" s="298">
        <f t="shared" si="13"/>
        <v>0</v>
      </c>
      <c r="AB102" s="301" t="str">
        <f t="shared" si="14"/>
        <v>43/49</v>
      </c>
      <c r="AC102" s="338" t="str">
        <f t="shared" si="15"/>
        <v>B</v>
      </c>
      <c r="AD102" s="332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2"/>
        <v>0</v>
      </c>
      <c r="AA103" s="298">
        <f t="shared" si="13"/>
        <v>0</v>
      </c>
      <c r="AB103" s="301" t="str">
        <f t="shared" si="14"/>
        <v>43/49</v>
      </c>
      <c r="AC103" s="338" t="str">
        <f t="shared" si="15"/>
        <v>B</v>
      </c>
      <c r="AD103" s="332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2"/>
        <v>0</v>
      </c>
      <c r="AA104" s="298">
        <f t="shared" si="13"/>
        <v>0</v>
      </c>
      <c r="AB104" s="301" t="str">
        <f t="shared" si="14"/>
        <v>43/49</v>
      </c>
      <c r="AC104" s="338" t="str">
        <f t="shared" si="15"/>
        <v>B</v>
      </c>
      <c r="AD104" s="332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2"/>
        <v>0</v>
      </c>
      <c r="AA105" s="298">
        <f t="shared" si="13"/>
        <v>0</v>
      </c>
      <c r="AB105" s="301" t="str">
        <f t="shared" si="14"/>
        <v>43/49</v>
      </c>
      <c r="AC105" s="338" t="str">
        <f t="shared" si="15"/>
        <v>B</v>
      </c>
      <c r="AD105" s="332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2"/>
        <v>0</v>
      </c>
      <c r="AA106" s="298">
        <f t="shared" si="13"/>
        <v>0</v>
      </c>
      <c r="AB106" s="301" t="str">
        <f t="shared" si="14"/>
        <v>43/49</v>
      </c>
      <c r="AC106" s="338" t="str">
        <f t="shared" si="15"/>
        <v>B</v>
      </c>
      <c r="AD106" s="332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2"/>
        <v>0</v>
      </c>
      <c r="AA107" s="298">
        <f t="shared" si="13"/>
        <v>0</v>
      </c>
      <c r="AB107" s="301" t="str">
        <f t="shared" si="14"/>
        <v>43/49</v>
      </c>
      <c r="AC107" s="338" t="str">
        <f t="shared" si="15"/>
        <v>B</v>
      </c>
      <c r="AD107" s="332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2"/>
        <v>0</v>
      </c>
      <c r="AA108" s="298">
        <f t="shared" si="13"/>
        <v>0</v>
      </c>
      <c r="AB108" s="301" t="str">
        <f t="shared" si="14"/>
        <v>43/49</v>
      </c>
      <c r="AC108" s="338" t="str">
        <f t="shared" si="15"/>
        <v>B</v>
      </c>
      <c r="AD108" s="332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2"/>
        <v>0</v>
      </c>
      <c r="AA109" s="298">
        <f t="shared" si="13"/>
        <v>0</v>
      </c>
      <c r="AB109" s="301" t="str">
        <f t="shared" si="14"/>
        <v>43/49</v>
      </c>
      <c r="AC109" s="338" t="str">
        <f t="shared" si="15"/>
        <v>B</v>
      </c>
      <c r="AD109" s="332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2"/>
        <v>0</v>
      </c>
      <c r="AA110" s="298">
        <f t="shared" si="13"/>
        <v>0</v>
      </c>
      <c r="AB110" s="301" t="str">
        <f t="shared" si="14"/>
        <v>43/49</v>
      </c>
      <c r="AC110" s="338" t="str">
        <f t="shared" si="15"/>
        <v>B</v>
      </c>
      <c r="AD110" s="332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2"/>
        <v>0</v>
      </c>
      <c r="AA111" s="298">
        <f t="shared" si="13"/>
        <v>0</v>
      </c>
      <c r="AB111" s="301" t="str">
        <f t="shared" si="14"/>
        <v>43/49</v>
      </c>
      <c r="AC111" s="338" t="str">
        <f t="shared" si="15"/>
        <v>B</v>
      </c>
      <c r="AD111" s="332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2"/>
        <v>0</v>
      </c>
      <c r="AA112" s="298">
        <f t="shared" si="13"/>
        <v>0</v>
      </c>
      <c r="AB112" s="301" t="str">
        <f t="shared" si="14"/>
        <v>43/49</v>
      </c>
      <c r="AC112" s="338" t="str">
        <f t="shared" si="15"/>
        <v>B</v>
      </c>
      <c r="AD112" s="332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2"/>
        <v>0</v>
      </c>
      <c r="AA113" s="298">
        <f t="shared" si="13"/>
        <v>0</v>
      </c>
      <c r="AB113" s="301" t="str">
        <f t="shared" si="14"/>
        <v>43/49</v>
      </c>
      <c r="AC113" s="338" t="str">
        <f t="shared" si="15"/>
        <v>B</v>
      </c>
      <c r="AD113" s="332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2"/>
        <v>0</v>
      </c>
      <c r="AA114" s="298">
        <f t="shared" si="13"/>
        <v>0</v>
      </c>
      <c r="AB114" s="301" t="str">
        <f t="shared" si="14"/>
        <v>43/49</v>
      </c>
      <c r="AC114" s="338" t="str">
        <f t="shared" si="15"/>
        <v>B</v>
      </c>
      <c r="AD114" s="332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2"/>
        <v>0</v>
      </c>
      <c r="AA115" s="298">
        <f t="shared" si="13"/>
        <v>0</v>
      </c>
      <c r="AB115" s="301" t="str">
        <f t="shared" si="14"/>
        <v>43/49</v>
      </c>
      <c r="AC115" s="338" t="str">
        <f t="shared" si="15"/>
        <v>B</v>
      </c>
      <c r="AD115" s="332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2"/>
        <v>0</v>
      </c>
      <c r="AA116" s="298">
        <f t="shared" si="13"/>
        <v>0</v>
      </c>
      <c r="AB116" s="301" t="str">
        <f t="shared" si="14"/>
        <v>43/49</v>
      </c>
      <c r="AC116" s="338" t="str">
        <f t="shared" si="15"/>
        <v>B</v>
      </c>
      <c r="AD116" s="332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2"/>
        <v>0</v>
      </c>
      <c r="AA117" s="298">
        <f t="shared" si="13"/>
        <v>0</v>
      </c>
      <c r="AB117" s="301" t="str">
        <f t="shared" si="14"/>
        <v>43/49</v>
      </c>
      <c r="AC117" s="338" t="str">
        <f t="shared" si="15"/>
        <v>B</v>
      </c>
      <c r="AD117" s="332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2"/>
        <v>0</v>
      </c>
      <c r="AA118" s="298">
        <f t="shared" si="13"/>
        <v>0</v>
      </c>
      <c r="AB118" s="301" t="str">
        <f t="shared" si="14"/>
        <v>43/49</v>
      </c>
      <c r="AC118" s="338" t="str">
        <f t="shared" si="15"/>
        <v>B</v>
      </c>
      <c r="AD118" s="332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2"/>
        <v>0</v>
      </c>
      <c r="AA119" s="298">
        <f t="shared" si="13"/>
        <v>0</v>
      </c>
      <c r="AB119" s="301" t="str">
        <f t="shared" si="14"/>
        <v>43/49</v>
      </c>
      <c r="AC119" s="338" t="str">
        <f t="shared" si="15"/>
        <v>B</v>
      </c>
      <c r="AD119" s="332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2"/>
        <v>0</v>
      </c>
      <c r="AA120" s="298">
        <f t="shared" si="13"/>
        <v>0</v>
      </c>
      <c r="AB120" s="301" t="str">
        <f t="shared" si="14"/>
        <v>43/49</v>
      </c>
      <c r="AC120" s="338" t="str">
        <f t="shared" si="15"/>
        <v>B</v>
      </c>
      <c r="AD120" s="332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2"/>
        <v>0</v>
      </c>
      <c r="AA121" s="298">
        <f t="shared" si="13"/>
        <v>0</v>
      </c>
      <c r="AB121" s="301" t="str">
        <f t="shared" si="14"/>
        <v>43/49</v>
      </c>
      <c r="AC121" s="338" t="str">
        <f t="shared" si="15"/>
        <v>B</v>
      </c>
      <c r="AD121" s="332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2"/>
        <v>0</v>
      </c>
      <c r="AA122" s="299">
        <f t="shared" si="13"/>
        <v>0</v>
      </c>
      <c r="AB122" s="301" t="str">
        <f t="shared" si="14"/>
        <v>43/49</v>
      </c>
      <c r="AC122" s="338" t="str">
        <f t="shared" si="15"/>
        <v>B</v>
      </c>
      <c r="AD122" s="333" t="str">
        <f t="shared" si="16"/>
        <v>Manque 17 Cotes</v>
      </c>
    </row>
  </sheetData>
  <sheetProtection selectLockedCells="1"/>
  <mergeCells count="1">
    <mergeCell ref="F13:Q13"/>
  </mergeCells>
  <conditionalFormatting sqref="G17:G122">
    <cfRule type="cellIs" dxfId="79" priority="13" operator="lessThan">
      <formula>10</formula>
    </cfRule>
  </conditionalFormatting>
  <conditionalFormatting sqref="I17:I122">
    <cfRule type="cellIs" dxfId="78" priority="12" operator="lessThan">
      <formula>10</formula>
    </cfRule>
  </conditionalFormatting>
  <conditionalFormatting sqref="J17:K122">
    <cfRule type="cellIs" dxfId="77" priority="3" operator="lessThan">
      <formula>5</formula>
    </cfRule>
  </conditionalFormatting>
  <conditionalFormatting sqref="L17:M122">
    <cfRule type="cellIs" dxfId="76" priority="11" operator="lessThan">
      <formula>15</formula>
    </cfRule>
  </conditionalFormatting>
  <conditionalFormatting sqref="N17:N122">
    <cfRule type="cellIs" dxfId="75" priority="10" operator="lessThan">
      <formula>5</formula>
    </cfRule>
  </conditionalFormatting>
  <conditionalFormatting sqref="O17:O122">
    <cfRule type="cellIs" dxfId="74" priority="9" operator="lessThan">
      <formula>15</formula>
    </cfRule>
  </conditionalFormatting>
  <conditionalFormatting sqref="P17:P122">
    <cfRule type="cellIs" dxfId="73" priority="8" operator="lessThan">
      <formula>25</formula>
    </cfRule>
  </conditionalFormatting>
  <conditionalFormatting sqref="Q17:S122">
    <cfRule type="cellIs" dxfId="72" priority="7" operator="lessThan">
      <formula>10</formula>
    </cfRule>
  </conditionalFormatting>
  <conditionalFormatting sqref="T17:T122">
    <cfRule type="cellIs" dxfId="71" priority="6" operator="lessThan">
      <formula>5</formula>
    </cfRule>
  </conditionalFormatting>
  <conditionalFormatting sqref="U17:V122">
    <cfRule type="cellIs" dxfId="70" priority="5" operator="lessThan">
      <formula>10</formula>
    </cfRule>
  </conditionalFormatting>
  <conditionalFormatting sqref="W17:X122">
    <cfRule type="cellIs" dxfId="69" priority="4" operator="lessThan">
      <formula>5</formula>
    </cfRule>
  </conditionalFormatting>
  <conditionalFormatting sqref="E17:E122">
    <cfRule type="containsText" dxfId="68" priority="1" operator="containsText" text="Abandon">
      <formula>NOT(ISERROR(SEARCH("Abandon",E17)))</formula>
    </cfRule>
    <cfRule type="expression" dxfId="67" priority="2">
      <formula>E17 = "Abandon"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C675-416B-40C4-836C-C0E3BE9B7309}">
  <sheetPr codeName="Feuil9"/>
  <dimension ref="A1:AE122"/>
  <sheetViews>
    <sheetView zoomScale="80" zoomScaleNormal="80" workbookViewId="0">
      <selection activeCell="T36" sqref="T36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5" width="5.7109375" customWidth="1"/>
    <col min="26" max="26" width="7" bestFit="1" customWidth="1"/>
    <col min="27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(EXAM1)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0</v>
      </c>
      <c r="H6" s="142"/>
      <c r="I6" s="141">
        <f>IFERROR(COUNTIF(I17:I122,"&gt;="&amp;I15/2),0)</f>
        <v>0</v>
      </c>
      <c r="J6" s="141">
        <f t="shared" ref="J6:X6" si="0">IFERROR(COUNTIF(J17:J122,"&gt;="&amp;J15/2),0)</f>
        <v>0</v>
      </c>
      <c r="K6" s="141">
        <f t="shared" si="0"/>
        <v>0</v>
      </c>
      <c r="L6" s="141">
        <f t="shared" si="0"/>
        <v>0</v>
      </c>
      <c r="M6" s="141">
        <f t="shared" si="0"/>
        <v>0</v>
      </c>
      <c r="N6" s="141">
        <f t="shared" si="0"/>
        <v>0</v>
      </c>
      <c r="O6" s="141">
        <f t="shared" si="0"/>
        <v>0</v>
      </c>
      <c r="P6" s="141">
        <f t="shared" si="0"/>
        <v>0</v>
      </c>
      <c r="Q6" s="141">
        <f t="shared" si="0"/>
        <v>0</v>
      </c>
      <c r="R6" s="141">
        <f t="shared" si="0"/>
        <v>0</v>
      </c>
      <c r="S6" s="141">
        <f t="shared" si="0"/>
        <v>0</v>
      </c>
      <c r="T6" s="141">
        <f t="shared" si="0"/>
        <v>0</v>
      </c>
      <c r="U6" s="141">
        <f t="shared" si="0"/>
        <v>0</v>
      </c>
      <c r="V6" s="141">
        <f t="shared" si="0"/>
        <v>0</v>
      </c>
      <c r="W6" s="141">
        <f t="shared" si="0"/>
        <v>0</v>
      </c>
      <c r="X6" s="141">
        <f t="shared" si="0"/>
        <v>0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41</v>
      </c>
      <c r="H7" s="146"/>
      <c r="I7" s="145">
        <f t="shared" si="1"/>
        <v>0</v>
      </c>
      <c r="J7" s="145">
        <f t="shared" si="1"/>
        <v>0</v>
      </c>
      <c r="K7" s="145">
        <f t="shared" si="1"/>
        <v>0</v>
      </c>
      <c r="L7" s="145">
        <f t="shared" si="1"/>
        <v>0</v>
      </c>
      <c r="M7" s="145">
        <f t="shared" si="1"/>
        <v>0</v>
      </c>
      <c r="N7" s="145">
        <f t="shared" si="1"/>
        <v>0</v>
      </c>
      <c r="O7" s="145">
        <f t="shared" si="1"/>
        <v>0</v>
      </c>
      <c r="P7" s="145">
        <f t="shared" si="1"/>
        <v>0</v>
      </c>
      <c r="Q7" s="145">
        <f t="shared" si="1"/>
        <v>0</v>
      </c>
      <c r="R7" s="145">
        <f t="shared" si="1"/>
        <v>0</v>
      </c>
      <c r="S7" s="145">
        <f t="shared" si="1"/>
        <v>0</v>
      </c>
      <c r="T7" s="145">
        <f t="shared" si="1"/>
        <v>0</v>
      </c>
      <c r="U7" s="145">
        <f t="shared" si="1"/>
        <v>0</v>
      </c>
      <c r="V7" s="145">
        <f t="shared" si="1"/>
        <v>0</v>
      </c>
      <c r="W7" s="145">
        <f t="shared" si="1"/>
        <v>0</v>
      </c>
      <c r="X7" s="145">
        <f t="shared" si="1"/>
        <v>0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8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41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0</v>
      </c>
      <c r="S8" s="145">
        <f t="shared" si="2"/>
        <v>0</v>
      </c>
      <c r="T8" s="145">
        <f t="shared" si="2"/>
        <v>0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162</v>
      </c>
      <c r="K9" s="145">
        <f t="shared" si="3"/>
        <v>0</v>
      </c>
      <c r="L9" s="145">
        <f t="shared" si="3"/>
        <v>0</v>
      </c>
      <c r="M9" s="145">
        <f t="shared" si="3"/>
        <v>0</v>
      </c>
      <c r="N9" s="145">
        <f t="shared" si="3"/>
        <v>0</v>
      </c>
      <c r="O9" s="145">
        <f t="shared" si="3"/>
        <v>0</v>
      </c>
      <c r="P9" s="145">
        <f t="shared" si="3"/>
        <v>0</v>
      </c>
      <c r="Q9" s="145">
        <f t="shared" si="3"/>
        <v>0</v>
      </c>
      <c r="R9" s="145">
        <f t="shared" si="3"/>
        <v>0</v>
      </c>
      <c r="S9" s="145">
        <f t="shared" si="3"/>
        <v>0</v>
      </c>
      <c r="T9" s="145">
        <f t="shared" si="3"/>
        <v>0</v>
      </c>
      <c r="U9" s="145">
        <f t="shared" si="3"/>
        <v>0</v>
      </c>
      <c r="V9" s="145">
        <f t="shared" si="3"/>
        <v>0</v>
      </c>
      <c r="W9" s="145">
        <f t="shared" si="3"/>
        <v>0</v>
      </c>
      <c r="X9" s="145">
        <f t="shared" si="3"/>
        <v>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0</v>
      </c>
      <c r="H10" s="146"/>
      <c r="I10" s="145">
        <f t="shared" si="4"/>
        <v>0</v>
      </c>
      <c r="J10" s="145">
        <f t="shared" si="4"/>
        <v>0</v>
      </c>
      <c r="K10" s="145">
        <f t="shared" si="4"/>
        <v>0</v>
      </c>
      <c r="L10" s="145">
        <f t="shared" si="4"/>
        <v>0</v>
      </c>
      <c r="M10" s="145">
        <f t="shared" si="4"/>
        <v>0</v>
      </c>
      <c r="N10" s="145">
        <f t="shared" si="4"/>
        <v>0</v>
      </c>
      <c r="O10" s="145">
        <f t="shared" si="4"/>
        <v>0</v>
      </c>
      <c r="P10" s="145">
        <f t="shared" si="4"/>
        <v>0</v>
      </c>
      <c r="Q10" s="145">
        <f t="shared" si="4"/>
        <v>0</v>
      </c>
      <c r="R10" s="145">
        <f t="shared" si="4"/>
        <v>0</v>
      </c>
      <c r="S10" s="145">
        <f t="shared" si="4"/>
        <v>0</v>
      </c>
      <c r="T10" s="145">
        <f t="shared" si="4"/>
        <v>0</v>
      </c>
      <c r="U10" s="145">
        <f t="shared" si="4"/>
        <v>0</v>
      </c>
      <c r="V10" s="145">
        <f t="shared" si="4"/>
        <v>0</v>
      </c>
      <c r="W10" s="145">
        <f t="shared" si="4"/>
        <v>0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100</v>
      </c>
      <c r="H11" s="146"/>
      <c r="I11" s="145">
        <f t="shared" si="5"/>
        <v>0</v>
      </c>
      <c r="J11" s="145">
        <f t="shared" si="5"/>
        <v>0</v>
      </c>
      <c r="K11" s="145">
        <f t="shared" si="5"/>
        <v>0</v>
      </c>
      <c r="L11" s="145">
        <f t="shared" si="5"/>
        <v>0</v>
      </c>
      <c r="M11" s="145">
        <f t="shared" si="5"/>
        <v>0</v>
      </c>
      <c r="N11" s="145">
        <f t="shared" si="5"/>
        <v>0</v>
      </c>
      <c r="O11" s="145">
        <f t="shared" si="5"/>
        <v>0</v>
      </c>
      <c r="P11" s="145">
        <f t="shared" si="5"/>
        <v>0</v>
      </c>
      <c r="Q11" s="145">
        <f t="shared" si="5"/>
        <v>0</v>
      </c>
      <c r="R11" s="145">
        <f t="shared" si="5"/>
        <v>0</v>
      </c>
      <c r="S11" s="145">
        <f t="shared" si="5"/>
        <v>0</v>
      </c>
      <c r="T11" s="145">
        <f t="shared" si="5"/>
        <v>0</v>
      </c>
      <c r="U11" s="145">
        <f t="shared" si="5"/>
        <v>0</v>
      </c>
      <c r="V11" s="145">
        <f t="shared" si="5"/>
        <v>0</v>
      </c>
      <c r="W11" s="145">
        <f t="shared" si="5"/>
        <v>0</v>
      </c>
      <c r="X11" s="145">
        <f t="shared" si="5"/>
        <v>0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3.9512195121951219</v>
      </c>
      <c r="H12" s="150"/>
      <c r="I12" s="149">
        <f t="shared" si="6"/>
        <v>0</v>
      </c>
      <c r="J12" s="149">
        <f t="shared" si="6"/>
        <v>0</v>
      </c>
      <c r="K12" s="149">
        <f t="shared" si="6"/>
        <v>0</v>
      </c>
      <c r="L12" s="149">
        <f t="shared" si="6"/>
        <v>0</v>
      </c>
      <c r="M12" s="149">
        <f t="shared" si="6"/>
        <v>0</v>
      </c>
      <c r="N12" s="149">
        <f t="shared" si="6"/>
        <v>0</v>
      </c>
      <c r="O12" s="149">
        <f t="shared" si="6"/>
        <v>0</v>
      </c>
      <c r="P12" s="149">
        <f t="shared" si="6"/>
        <v>0</v>
      </c>
      <c r="Q12" s="149">
        <f t="shared" si="6"/>
        <v>0</v>
      </c>
      <c r="R12" s="149">
        <f t="shared" si="6"/>
        <v>0</v>
      </c>
      <c r="S12" s="149">
        <f t="shared" si="6"/>
        <v>0</v>
      </c>
      <c r="T12" s="149">
        <f t="shared" si="6"/>
        <v>0</v>
      </c>
      <c r="U12" s="149">
        <f t="shared" si="6"/>
        <v>0</v>
      </c>
      <c r="V12" s="149">
        <f t="shared" si="6"/>
        <v>0</v>
      </c>
      <c r="W12" s="149">
        <f t="shared" si="6"/>
        <v>0</v>
      </c>
      <c r="X12" s="149">
        <f t="shared" si="6"/>
        <v>0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0.6">
      <c r="A14" s="121"/>
      <c r="B14" s="122" t="s">
        <v>157</v>
      </c>
      <c r="C14" s="123"/>
      <c r="D14" s="281" t="s">
        <v>32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260">
        <f>DashBoard!$AB7 * 2</f>
        <v>20</v>
      </c>
      <c r="H15" s="119"/>
      <c r="I15" s="260">
        <f>DashBoard!$AB9 *2</f>
        <v>40</v>
      </c>
      <c r="J15" s="260">
        <f>DashBoard!$AB10 * 2</f>
        <v>40</v>
      </c>
      <c r="K15" s="260">
        <f>DashBoard!$AB11 * 2</f>
        <v>40</v>
      </c>
      <c r="L15" s="260">
        <f>DashBoard!$AB12*2</f>
        <v>40</v>
      </c>
      <c r="M15" s="260">
        <f>DashBoard!$AB13*2</f>
        <v>40</v>
      </c>
      <c r="N15" s="260">
        <f>DashBoard!$AB14*2</f>
        <v>40</v>
      </c>
      <c r="O15" s="260">
        <f>DashBoard!$AB15*2</f>
        <v>40</v>
      </c>
      <c r="P15" s="260">
        <f>DashBoard!$AB16*2</f>
        <v>60</v>
      </c>
      <c r="Q15" s="260">
        <f>DashBoard!$AB17*2</f>
        <v>60</v>
      </c>
      <c r="R15" s="260">
        <f>DashBoard!$AB18*2</f>
        <v>60</v>
      </c>
      <c r="S15" s="260">
        <f>DashBoard!$AB19*2</f>
        <v>60</v>
      </c>
      <c r="T15" s="260">
        <f>DashBoard!$AB20*2</f>
        <v>80</v>
      </c>
      <c r="U15" s="260">
        <f>DashBoard!$AB21*2</f>
        <v>80</v>
      </c>
      <c r="V15" s="260">
        <f>DashBoard!$AB22*2</f>
        <v>80</v>
      </c>
      <c r="W15" s="260">
        <f>DashBoard!$AB23*2</f>
        <v>80</v>
      </c>
      <c r="X15" s="260">
        <f>DashBoard!$AB24*2</f>
        <v>200</v>
      </c>
      <c r="Y15" s="120"/>
      <c r="Z15" s="293">
        <f>SUM(G15,I15:Y15)</f>
        <v>1060</v>
      </c>
      <c r="AA15" s="297"/>
      <c r="AB15" s="261"/>
      <c r="AC15" s="337"/>
      <c r="AD15" s="327"/>
    </row>
    <row r="16" spans="1:31" ht="15.75" thickBot="1" x14ac:dyDescent="0.3">
      <c r="A16" s="262" t="s">
        <v>172</v>
      </c>
      <c r="B16" s="262" t="s">
        <v>161</v>
      </c>
      <c r="C16" s="262" t="s">
        <v>162</v>
      </c>
      <c r="D16" s="263" t="s">
        <v>163</v>
      </c>
      <c r="E16" s="264"/>
      <c r="F16" s="265">
        <v>1</v>
      </c>
      <c r="G16" s="266">
        <v>2</v>
      </c>
      <c r="H16" s="266">
        <v>3</v>
      </c>
      <c r="I16" s="266">
        <v>4</v>
      </c>
      <c r="J16" s="266">
        <v>5</v>
      </c>
      <c r="K16" s="266">
        <v>7</v>
      </c>
      <c r="L16" s="266">
        <v>7</v>
      </c>
      <c r="M16" s="266">
        <v>8</v>
      </c>
      <c r="N16" s="266">
        <v>9</v>
      </c>
      <c r="O16" s="266">
        <v>10</v>
      </c>
      <c r="P16" s="266">
        <v>11</v>
      </c>
      <c r="Q16" s="266">
        <v>12</v>
      </c>
      <c r="R16" s="266">
        <v>13</v>
      </c>
      <c r="S16" s="266">
        <v>14</v>
      </c>
      <c r="T16" s="266">
        <v>15</v>
      </c>
      <c r="U16" s="266">
        <v>16</v>
      </c>
      <c r="V16" s="266">
        <v>17</v>
      </c>
      <c r="W16" s="266">
        <v>18</v>
      </c>
      <c r="X16" s="266">
        <v>19</v>
      </c>
      <c r="Y16" s="267">
        <v>20</v>
      </c>
      <c r="Z16" s="268"/>
      <c r="AA16" s="268"/>
      <c r="AB16" s="269"/>
      <c r="AC16" s="268"/>
      <c r="AD16" s="328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/>
      <c r="H17" s="110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10"/>
      <c r="Z17" s="294">
        <f>SUM(G17,I17:X17)</f>
        <v>0</v>
      </c>
      <c r="AA17" s="298">
        <f>(Z17/$Z$15)*100</f>
        <v>0</v>
      </c>
      <c r="AB17" s="301" t="str">
        <f>RANK(AA17,AA$17:AA$122,0) &amp;"/"&amp; COUNTA($B$17:$B$122)</f>
        <v>42/49</v>
      </c>
      <c r="AC17" s="338" t="str">
        <f>IF(AA17&gt;60,"TB","B")</f>
        <v>B</v>
      </c>
      <c r="AD17" s="320" t="str">
        <f>IF(COUNTIF(F17:Y17,"")&gt;3,"Manque " &amp; COUNTIF(F17:Y17,"") - 3 &amp; " Cotes","RAS")</f>
        <v>Manque 17 Cotes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/>
      <c r="H18" s="110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0"/>
      <c r="Z18" s="295">
        <f t="shared" ref="Z18:Z81" si="7">SUM(G18,I18:X18)</f>
        <v>0</v>
      </c>
      <c r="AA18" s="298">
        <f t="shared" ref="AA18:AA81" si="8">(Z18/$Z$15)*100</f>
        <v>0</v>
      </c>
      <c r="AB18" s="301" t="str">
        <f t="shared" ref="AB18:AB81" si="9">RANK(AA18,AA$17:AA$122,0) &amp;"/"&amp; COUNTA($B$17:$B$122)</f>
        <v>42/49</v>
      </c>
      <c r="AC18" s="338" t="str">
        <f t="shared" ref="AC18:AC81" si="10">IF(AA18&gt;60,"TB","B")</f>
        <v>B</v>
      </c>
      <c r="AD18" s="321" t="str">
        <f t="shared" ref="AD18:AD81" si="11">IF(COUNTIF(F18:Y18,"")&gt;3,"Manque " &amp; COUNTIF(F18:Y18,"") - 3 &amp; " Cotes","RAS")</f>
        <v>Manque 17 Cotes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/>
      <c r="H19" s="110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0"/>
      <c r="Z19" s="295">
        <f t="shared" si="7"/>
        <v>0</v>
      </c>
      <c r="AA19" s="298">
        <f t="shared" si="8"/>
        <v>0</v>
      </c>
      <c r="AB19" s="301" t="str">
        <f t="shared" si="9"/>
        <v>42/49</v>
      </c>
      <c r="AC19" s="338" t="str">
        <f t="shared" si="10"/>
        <v>B</v>
      </c>
      <c r="AD19" s="321" t="str">
        <f t="shared" si="11"/>
        <v>Manque 17 Cotes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/>
      <c r="H20" s="110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0"/>
      <c r="Z20" s="295">
        <f t="shared" si="7"/>
        <v>0</v>
      </c>
      <c r="AA20" s="298">
        <f t="shared" si="8"/>
        <v>0</v>
      </c>
      <c r="AB20" s="301" t="str">
        <f t="shared" si="9"/>
        <v>42/49</v>
      </c>
      <c r="AC20" s="338" t="str">
        <f t="shared" si="10"/>
        <v>B</v>
      </c>
      <c r="AD20" s="321" t="str">
        <f t="shared" si="11"/>
        <v>Manque 17 Cotes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8</v>
      </c>
      <c r="H21" s="110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0"/>
      <c r="Z21" s="295">
        <f t="shared" si="7"/>
        <v>8</v>
      </c>
      <c r="AA21" s="298">
        <f t="shared" si="8"/>
        <v>0.75471698113207553</v>
      </c>
      <c r="AB21" s="301" t="str">
        <f t="shared" si="9"/>
        <v>2/49</v>
      </c>
      <c r="AC21" s="338" t="str">
        <f t="shared" si="10"/>
        <v>B</v>
      </c>
      <c r="AD21" s="321" t="str">
        <f>IF(COUNTIF(F21:Y21,"")&gt;3,"Manque " &amp; COUNTIF(F21:Y21,"") - 3 &amp; " Cotes","RAS")</f>
        <v>Manque 16 Cotes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2</v>
      </c>
      <c r="H22" s="110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0"/>
      <c r="Z22" s="295">
        <f t="shared" si="7"/>
        <v>2</v>
      </c>
      <c r="AA22" s="298">
        <f t="shared" si="8"/>
        <v>0.18867924528301888</v>
      </c>
      <c r="AB22" s="301" t="str">
        <f t="shared" si="9"/>
        <v>27/49</v>
      </c>
      <c r="AC22" s="338" t="str">
        <f t="shared" si="10"/>
        <v>B</v>
      </c>
      <c r="AD22" s="321" t="str">
        <f t="shared" si="11"/>
        <v>Manque 16 Cotes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2</v>
      </c>
      <c r="H23" s="110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0"/>
      <c r="Z23" s="295">
        <f t="shared" si="7"/>
        <v>2</v>
      </c>
      <c r="AA23" s="298">
        <f t="shared" si="8"/>
        <v>0.18867924528301888</v>
      </c>
      <c r="AB23" s="301" t="str">
        <f t="shared" si="9"/>
        <v>27/49</v>
      </c>
      <c r="AC23" s="338" t="str">
        <f t="shared" si="10"/>
        <v>B</v>
      </c>
      <c r="AD23" s="321" t="str">
        <f t="shared" si="11"/>
        <v>Manque 16 Cotes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5</v>
      </c>
      <c r="H24" s="110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0"/>
      <c r="Z24" s="295">
        <f t="shared" si="7"/>
        <v>5</v>
      </c>
      <c r="AA24" s="298">
        <f t="shared" si="8"/>
        <v>0.47169811320754718</v>
      </c>
      <c r="AB24" s="301" t="str">
        <f t="shared" si="9"/>
        <v>5/49</v>
      </c>
      <c r="AC24" s="338" t="str">
        <f t="shared" si="10"/>
        <v>B</v>
      </c>
      <c r="AD24" s="321" t="str">
        <f t="shared" si="11"/>
        <v>Manque 16 Cotes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/>
      <c r="H25" s="110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0"/>
      <c r="Z25" s="295">
        <f t="shared" si="7"/>
        <v>0</v>
      </c>
      <c r="AA25" s="298">
        <f t="shared" si="8"/>
        <v>0</v>
      </c>
      <c r="AB25" s="301" t="str">
        <f t="shared" si="9"/>
        <v>42/49</v>
      </c>
      <c r="AC25" s="338" t="str">
        <f t="shared" si="10"/>
        <v>B</v>
      </c>
      <c r="AD25" s="321" t="str">
        <f t="shared" si="11"/>
        <v>Manque 17 Cotes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5</v>
      </c>
      <c r="H26" s="110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0"/>
      <c r="Z26" s="295">
        <f t="shared" si="7"/>
        <v>5</v>
      </c>
      <c r="AA26" s="298">
        <f t="shared" si="8"/>
        <v>0.47169811320754718</v>
      </c>
      <c r="AB26" s="301" t="str">
        <f t="shared" si="9"/>
        <v>5/49</v>
      </c>
      <c r="AC26" s="338" t="str">
        <f t="shared" si="10"/>
        <v>B</v>
      </c>
      <c r="AD26" s="321" t="str">
        <f t="shared" si="11"/>
        <v>Manque 16 Cotes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1</v>
      </c>
      <c r="H27" s="110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0"/>
      <c r="Z27" s="295">
        <f t="shared" si="7"/>
        <v>1</v>
      </c>
      <c r="AA27" s="298">
        <f t="shared" si="8"/>
        <v>9.4339622641509441E-2</v>
      </c>
      <c r="AB27" s="301" t="str">
        <f t="shared" si="9"/>
        <v>32/49</v>
      </c>
      <c r="AC27" s="338" t="str">
        <f t="shared" si="10"/>
        <v>B</v>
      </c>
      <c r="AD27" s="321" t="str">
        <f t="shared" si="11"/>
        <v>Manque 16 Cotes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/>
      <c r="H28" s="110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0"/>
      <c r="Z28" s="295">
        <f t="shared" si="7"/>
        <v>0</v>
      </c>
      <c r="AA28" s="298">
        <f t="shared" si="8"/>
        <v>0</v>
      </c>
      <c r="AB28" s="301" t="str">
        <f t="shared" si="9"/>
        <v>42/49</v>
      </c>
      <c r="AC28" s="338" t="str">
        <f t="shared" si="10"/>
        <v>B</v>
      </c>
      <c r="AD28" s="321" t="str">
        <f t="shared" si="11"/>
        <v>Manque 17 Cotes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5</v>
      </c>
      <c r="H29" s="110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0"/>
      <c r="Z29" s="295">
        <f t="shared" si="7"/>
        <v>5</v>
      </c>
      <c r="AA29" s="298">
        <f t="shared" si="8"/>
        <v>0.47169811320754718</v>
      </c>
      <c r="AB29" s="301" t="str">
        <f t="shared" si="9"/>
        <v>5/49</v>
      </c>
      <c r="AC29" s="338" t="str">
        <f t="shared" si="10"/>
        <v>B</v>
      </c>
      <c r="AD29" s="321" t="str">
        <f t="shared" si="11"/>
        <v>Manque 16 Cotes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5</v>
      </c>
      <c r="H30" s="110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0"/>
      <c r="Z30" s="295">
        <f t="shared" si="7"/>
        <v>5</v>
      </c>
      <c r="AA30" s="298">
        <f t="shared" si="8"/>
        <v>0.47169811320754718</v>
      </c>
      <c r="AB30" s="301" t="str">
        <f t="shared" si="9"/>
        <v>5/49</v>
      </c>
      <c r="AC30" s="338" t="str">
        <f t="shared" si="10"/>
        <v>B</v>
      </c>
      <c r="AD30" s="321" t="str">
        <f t="shared" si="11"/>
        <v>Manque 16 Cotes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1</v>
      </c>
      <c r="H31" s="110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0"/>
      <c r="Z31" s="295">
        <f t="shared" si="7"/>
        <v>1</v>
      </c>
      <c r="AA31" s="298">
        <f t="shared" si="8"/>
        <v>9.4339622641509441E-2</v>
      </c>
      <c r="AB31" s="301" t="str">
        <f t="shared" si="9"/>
        <v>32/49</v>
      </c>
      <c r="AC31" s="338" t="str">
        <f t="shared" si="10"/>
        <v>B</v>
      </c>
      <c r="AD31" s="321" t="str">
        <f t="shared" si="11"/>
        <v>Manque 16 Cotes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9</v>
      </c>
      <c r="H32" s="110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0"/>
      <c r="Z32" s="295">
        <f t="shared" si="7"/>
        <v>9</v>
      </c>
      <c r="AA32" s="298">
        <f t="shared" si="8"/>
        <v>0.84905660377358494</v>
      </c>
      <c r="AB32" s="301" t="str">
        <f t="shared" si="9"/>
        <v>1/49</v>
      </c>
      <c r="AC32" s="338" t="str">
        <f t="shared" si="10"/>
        <v>B</v>
      </c>
      <c r="AD32" s="321" t="str">
        <f t="shared" si="11"/>
        <v>Manque 16 Cotes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5</v>
      </c>
      <c r="H33" s="110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0"/>
      <c r="Z33" s="295">
        <f t="shared" si="7"/>
        <v>5</v>
      </c>
      <c r="AA33" s="298">
        <f t="shared" si="8"/>
        <v>0.47169811320754718</v>
      </c>
      <c r="AB33" s="301" t="str">
        <f t="shared" si="9"/>
        <v>5/49</v>
      </c>
      <c r="AC33" s="338" t="str">
        <f t="shared" si="10"/>
        <v>B</v>
      </c>
      <c r="AD33" s="321" t="str">
        <f t="shared" si="11"/>
        <v>Manque 16 Cotes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/>
      <c r="H34" s="110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0"/>
      <c r="Z34" s="295">
        <f t="shared" si="7"/>
        <v>0</v>
      </c>
      <c r="AA34" s="298">
        <f t="shared" si="8"/>
        <v>0</v>
      </c>
      <c r="AB34" s="301" t="str">
        <f t="shared" si="9"/>
        <v>42/49</v>
      </c>
      <c r="AC34" s="338" t="str">
        <f t="shared" si="10"/>
        <v>B</v>
      </c>
      <c r="AD34" s="321" t="str">
        <f t="shared" si="11"/>
        <v>Manque 17 Cotes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1</v>
      </c>
      <c r="H35" s="110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0"/>
      <c r="Z35" s="295">
        <f t="shared" si="7"/>
        <v>1</v>
      </c>
      <c r="AA35" s="298">
        <f t="shared" si="8"/>
        <v>9.4339622641509441E-2</v>
      </c>
      <c r="AB35" s="301" t="str">
        <f t="shared" si="9"/>
        <v>32/49</v>
      </c>
      <c r="AC35" s="338" t="str">
        <f t="shared" si="10"/>
        <v>B</v>
      </c>
      <c r="AD35" s="321" t="str">
        <f t="shared" si="11"/>
        <v>Manque 16 Cotes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8</v>
      </c>
      <c r="H36" s="110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0"/>
      <c r="Z36" s="295">
        <f t="shared" si="7"/>
        <v>8</v>
      </c>
      <c r="AA36" s="298">
        <f t="shared" si="8"/>
        <v>0.75471698113207553</v>
      </c>
      <c r="AB36" s="301" t="str">
        <f t="shared" si="9"/>
        <v>2/49</v>
      </c>
      <c r="AC36" s="338" t="str">
        <f t="shared" si="10"/>
        <v>B</v>
      </c>
      <c r="AD36" s="321" t="str">
        <f t="shared" si="11"/>
        <v>Manque 16 Cotes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1</v>
      </c>
      <c r="H37" s="110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0"/>
      <c r="Z37" s="295">
        <f t="shared" si="7"/>
        <v>1</v>
      </c>
      <c r="AA37" s="298">
        <f t="shared" si="8"/>
        <v>9.4339622641509441E-2</v>
      </c>
      <c r="AB37" s="301" t="str">
        <f t="shared" si="9"/>
        <v>32/49</v>
      </c>
      <c r="AC37" s="338" t="str">
        <f t="shared" si="10"/>
        <v>B</v>
      </c>
      <c r="AD37" s="321" t="str">
        <f t="shared" si="11"/>
        <v>Manque 16 Cotes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5</v>
      </c>
      <c r="H38" s="110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0"/>
      <c r="Z38" s="295">
        <f t="shared" si="7"/>
        <v>5</v>
      </c>
      <c r="AA38" s="298">
        <f t="shared" si="8"/>
        <v>0.47169811320754718</v>
      </c>
      <c r="AB38" s="301" t="str">
        <f t="shared" si="9"/>
        <v>5/49</v>
      </c>
      <c r="AC38" s="338" t="str">
        <f t="shared" si="10"/>
        <v>B</v>
      </c>
      <c r="AD38" s="321" t="str">
        <f t="shared" si="11"/>
        <v>Manque 16 Cotes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5</v>
      </c>
      <c r="H39" s="110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0"/>
      <c r="Z39" s="295">
        <f t="shared" si="7"/>
        <v>5</v>
      </c>
      <c r="AA39" s="298">
        <f t="shared" si="8"/>
        <v>0.47169811320754718</v>
      </c>
      <c r="AB39" s="301" t="str">
        <f t="shared" si="9"/>
        <v>5/49</v>
      </c>
      <c r="AC39" s="338" t="str">
        <f t="shared" si="10"/>
        <v>B</v>
      </c>
      <c r="AD39" s="321" t="str">
        <f t="shared" si="11"/>
        <v>Manque 16 Cotes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5</v>
      </c>
      <c r="H40" s="110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0"/>
      <c r="Z40" s="295">
        <f t="shared" si="7"/>
        <v>5</v>
      </c>
      <c r="AA40" s="298">
        <f t="shared" si="8"/>
        <v>0.47169811320754718</v>
      </c>
      <c r="AB40" s="301" t="str">
        <f t="shared" si="9"/>
        <v>5/49</v>
      </c>
      <c r="AC40" s="338" t="str">
        <f t="shared" si="10"/>
        <v>B</v>
      </c>
      <c r="AD40" s="321" t="str">
        <f t="shared" si="11"/>
        <v>Manque 16 Cotes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1</v>
      </c>
      <c r="H41" s="110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0"/>
      <c r="Z41" s="295">
        <f t="shared" si="7"/>
        <v>1</v>
      </c>
      <c r="AA41" s="298">
        <f t="shared" si="8"/>
        <v>9.4339622641509441E-2</v>
      </c>
      <c r="AB41" s="301" t="str">
        <f t="shared" si="9"/>
        <v>32/49</v>
      </c>
      <c r="AC41" s="338" t="str">
        <f t="shared" si="10"/>
        <v>B</v>
      </c>
      <c r="AD41" s="321" t="str">
        <f t="shared" si="11"/>
        <v>Manque 16 Cotes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5</v>
      </c>
      <c r="H42" s="110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0"/>
      <c r="Z42" s="295">
        <f t="shared" si="7"/>
        <v>5</v>
      </c>
      <c r="AA42" s="298">
        <f t="shared" si="8"/>
        <v>0.47169811320754718</v>
      </c>
      <c r="AB42" s="301" t="str">
        <f t="shared" si="9"/>
        <v>5/49</v>
      </c>
      <c r="AC42" s="338" t="str">
        <f t="shared" si="10"/>
        <v>B</v>
      </c>
      <c r="AD42" s="321" t="str">
        <f t="shared" si="11"/>
        <v>Manque 16 Cotes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1</v>
      </c>
      <c r="H43" s="110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0"/>
      <c r="Z43" s="295">
        <f t="shared" si="7"/>
        <v>1</v>
      </c>
      <c r="AA43" s="298">
        <f t="shared" si="8"/>
        <v>9.4339622641509441E-2</v>
      </c>
      <c r="AB43" s="301" t="str">
        <f t="shared" si="9"/>
        <v>32/49</v>
      </c>
      <c r="AC43" s="338" t="str">
        <f t="shared" si="10"/>
        <v>B</v>
      </c>
      <c r="AD43" s="321" t="str">
        <f t="shared" si="11"/>
        <v>Manque 16 Cotes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5</v>
      </c>
      <c r="H44" s="110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0"/>
      <c r="Z44" s="295">
        <f t="shared" si="7"/>
        <v>5</v>
      </c>
      <c r="AA44" s="298">
        <f t="shared" si="8"/>
        <v>0.47169811320754718</v>
      </c>
      <c r="AB44" s="301" t="str">
        <f t="shared" si="9"/>
        <v>5/49</v>
      </c>
      <c r="AC44" s="338" t="str">
        <f t="shared" si="10"/>
        <v>B</v>
      </c>
      <c r="AD44" s="321" t="str">
        <f t="shared" si="11"/>
        <v>Manque 16 Cotes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5</v>
      </c>
      <c r="H45" s="110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0"/>
      <c r="Z45" s="295">
        <f t="shared" si="7"/>
        <v>5</v>
      </c>
      <c r="AA45" s="298">
        <f t="shared" si="8"/>
        <v>0.47169811320754718</v>
      </c>
      <c r="AB45" s="301" t="str">
        <f t="shared" si="9"/>
        <v>5/49</v>
      </c>
      <c r="AC45" s="338" t="str">
        <f t="shared" si="10"/>
        <v>B</v>
      </c>
      <c r="AD45" s="321" t="str">
        <f t="shared" si="11"/>
        <v>Manque 16 Cotes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5</v>
      </c>
      <c r="H46" s="110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0"/>
      <c r="Z46" s="295">
        <f t="shared" si="7"/>
        <v>5</v>
      </c>
      <c r="AA46" s="298">
        <f t="shared" si="8"/>
        <v>0.47169811320754718</v>
      </c>
      <c r="AB46" s="301" t="str">
        <f t="shared" si="9"/>
        <v>5/49</v>
      </c>
      <c r="AC46" s="338" t="str">
        <f t="shared" si="10"/>
        <v>B</v>
      </c>
      <c r="AD46" s="321" t="str">
        <f t="shared" si="11"/>
        <v>Manque 16 Cotes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1</v>
      </c>
      <c r="H47" s="110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0"/>
      <c r="Z47" s="295">
        <f t="shared" si="7"/>
        <v>1</v>
      </c>
      <c r="AA47" s="298">
        <f t="shared" si="8"/>
        <v>9.4339622641509441E-2</v>
      </c>
      <c r="AB47" s="301" t="str">
        <f t="shared" si="9"/>
        <v>32/49</v>
      </c>
      <c r="AC47" s="338" t="str">
        <f t="shared" si="10"/>
        <v>B</v>
      </c>
      <c r="AD47" s="321" t="str">
        <f t="shared" si="11"/>
        <v>Manque 16 Cotes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1</v>
      </c>
      <c r="H48" s="110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0"/>
      <c r="Z48" s="295">
        <f t="shared" si="7"/>
        <v>1</v>
      </c>
      <c r="AA48" s="298">
        <f t="shared" si="8"/>
        <v>9.4339622641509441E-2</v>
      </c>
      <c r="AB48" s="301" t="str">
        <f t="shared" si="9"/>
        <v>32/49</v>
      </c>
      <c r="AC48" s="338" t="str">
        <f t="shared" si="10"/>
        <v>B</v>
      </c>
      <c r="AD48" s="321" t="str">
        <f t="shared" si="11"/>
        <v>Manque 16 Cotes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5</v>
      </c>
      <c r="H49" s="110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0"/>
      <c r="Z49" s="295">
        <f t="shared" si="7"/>
        <v>5</v>
      </c>
      <c r="AA49" s="298">
        <f t="shared" si="8"/>
        <v>0.47169811320754718</v>
      </c>
      <c r="AB49" s="301" t="str">
        <f t="shared" si="9"/>
        <v>5/49</v>
      </c>
      <c r="AC49" s="338" t="str">
        <f t="shared" si="10"/>
        <v>B</v>
      </c>
      <c r="AD49" s="321" t="str">
        <f t="shared" si="11"/>
        <v>Manque 16 Cotes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5</v>
      </c>
      <c r="H50" s="110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0"/>
      <c r="Z50" s="295">
        <f t="shared" si="7"/>
        <v>5</v>
      </c>
      <c r="AA50" s="298">
        <f t="shared" si="8"/>
        <v>0.47169811320754718</v>
      </c>
      <c r="AB50" s="301" t="str">
        <f t="shared" si="9"/>
        <v>5/49</v>
      </c>
      <c r="AC50" s="338" t="str">
        <f t="shared" si="10"/>
        <v>B</v>
      </c>
      <c r="AD50" s="321" t="str">
        <f t="shared" si="11"/>
        <v>Manque 16 Cotes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5</v>
      </c>
      <c r="H51" s="110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0"/>
      <c r="Z51" s="295">
        <f t="shared" si="7"/>
        <v>5</v>
      </c>
      <c r="AA51" s="298">
        <f t="shared" si="8"/>
        <v>0.47169811320754718</v>
      </c>
      <c r="AB51" s="301" t="str">
        <f t="shared" si="9"/>
        <v>5/49</v>
      </c>
      <c r="AC51" s="338" t="str">
        <f t="shared" si="10"/>
        <v>B</v>
      </c>
      <c r="AD51" s="321" t="str">
        <f t="shared" si="11"/>
        <v>Manque 16 Cotes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5</v>
      </c>
      <c r="H52" s="110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0"/>
      <c r="Z52" s="295">
        <f t="shared" si="7"/>
        <v>5</v>
      </c>
      <c r="AA52" s="298">
        <f t="shared" si="8"/>
        <v>0.47169811320754718</v>
      </c>
      <c r="AB52" s="301" t="str">
        <f t="shared" si="9"/>
        <v>5/49</v>
      </c>
      <c r="AC52" s="338" t="str">
        <f t="shared" si="10"/>
        <v>B</v>
      </c>
      <c r="AD52" s="321" t="str">
        <f t="shared" si="11"/>
        <v>Manque 16 Cotes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5</v>
      </c>
      <c r="H53" s="110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0"/>
      <c r="Z53" s="295">
        <f t="shared" si="7"/>
        <v>5</v>
      </c>
      <c r="AA53" s="298">
        <f t="shared" si="8"/>
        <v>0.47169811320754718</v>
      </c>
      <c r="AB53" s="301" t="str">
        <f t="shared" si="9"/>
        <v>5/49</v>
      </c>
      <c r="AC53" s="338" t="str">
        <f t="shared" si="10"/>
        <v>B</v>
      </c>
      <c r="AD53" s="321" t="str">
        <f t="shared" si="11"/>
        <v>Manque 16 Cotes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5</v>
      </c>
      <c r="H54" s="110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0"/>
      <c r="Z54" s="295">
        <f t="shared" si="7"/>
        <v>5</v>
      </c>
      <c r="AA54" s="298">
        <f t="shared" si="8"/>
        <v>0.47169811320754718</v>
      </c>
      <c r="AB54" s="301" t="str">
        <f t="shared" si="9"/>
        <v>5/49</v>
      </c>
      <c r="AC54" s="338" t="str">
        <f t="shared" si="10"/>
        <v>B</v>
      </c>
      <c r="AD54" s="321" t="str">
        <f t="shared" si="11"/>
        <v>Manque 16 Cotes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5</v>
      </c>
      <c r="H55" s="110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0"/>
      <c r="Z55" s="295">
        <f t="shared" si="7"/>
        <v>5</v>
      </c>
      <c r="AA55" s="298">
        <f t="shared" si="8"/>
        <v>0.47169811320754718</v>
      </c>
      <c r="AB55" s="301" t="str">
        <f t="shared" si="9"/>
        <v>5/49</v>
      </c>
      <c r="AC55" s="338" t="str">
        <f t="shared" si="10"/>
        <v>B</v>
      </c>
      <c r="AD55" s="321" t="str">
        <f t="shared" si="11"/>
        <v>Manque 16 Cotes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5</v>
      </c>
      <c r="H56" s="110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0"/>
      <c r="Z56" s="295">
        <f t="shared" si="7"/>
        <v>5</v>
      </c>
      <c r="AA56" s="298">
        <f t="shared" si="8"/>
        <v>0.47169811320754718</v>
      </c>
      <c r="AB56" s="301" t="str">
        <f t="shared" si="9"/>
        <v>5/49</v>
      </c>
      <c r="AC56" s="338" t="str">
        <f t="shared" si="10"/>
        <v>B</v>
      </c>
      <c r="AD56" s="321" t="str">
        <f t="shared" si="11"/>
        <v>Manque 16 Cotes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2</v>
      </c>
      <c r="H57" s="110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0"/>
      <c r="Z57" s="295">
        <f t="shared" si="7"/>
        <v>2</v>
      </c>
      <c r="AA57" s="298">
        <f t="shared" si="8"/>
        <v>0.18867924528301888</v>
      </c>
      <c r="AB57" s="301" t="str">
        <f t="shared" si="9"/>
        <v>27/49</v>
      </c>
      <c r="AC57" s="338" t="str">
        <f t="shared" si="10"/>
        <v>B</v>
      </c>
      <c r="AD57" s="321" t="str">
        <f t="shared" si="11"/>
        <v>Manque 16 Cotes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2</v>
      </c>
      <c r="H58" s="110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0"/>
      <c r="Z58" s="295">
        <f t="shared" si="7"/>
        <v>2</v>
      </c>
      <c r="AA58" s="298">
        <f t="shared" si="8"/>
        <v>0.18867924528301888</v>
      </c>
      <c r="AB58" s="301" t="str">
        <f t="shared" si="9"/>
        <v>27/49</v>
      </c>
      <c r="AC58" s="338" t="str">
        <f t="shared" si="10"/>
        <v>B</v>
      </c>
      <c r="AD58" s="321" t="str">
        <f t="shared" si="11"/>
        <v>Manque 16 Cotes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5</v>
      </c>
      <c r="H59" s="110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0"/>
      <c r="Z59" s="295">
        <f t="shared" si="7"/>
        <v>5</v>
      </c>
      <c r="AA59" s="298">
        <f t="shared" si="8"/>
        <v>0.47169811320754718</v>
      </c>
      <c r="AB59" s="301" t="str">
        <f t="shared" si="9"/>
        <v>5/49</v>
      </c>
      <c r="AC59" s="338" t="str">
        <f t="shared" si="10"/>
        <v>B</v>
      </c>
      <c r="AD59" s="321" t="str">
        <f t="shared" si="11"/>
        <v>Manque 16 Cotes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1</v>
      </c>
      <c r="H60" s="110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0"/>
      <c r="Z60" s="295">
        <f t="shared" si="7"/>
        <v>1</v>
      </c>
      <c r="AA60" s="298">
        <f t="shared" si="8"/>
        <v>9.4339622641509441E-2</v>
      </c>
      <c r="AB60" s="301" t="str">
        <f t="shared" si="9"/>
        <v>32/49</v>
      </c>
      <c r="AC60" s="338" t="str">
        <f t="shared" si="10"/>
        <v>B</v>
      </c>
      <c r="AD60" s="321" t="str">
        <f t="shared" si="11"/>
        <v>Manque 16 Cotes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1</v>
      </c>
      <c r="H61" s="110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0"/>
      <c r="Z61" s="295">
        <f t="shared" si="7"/>
        <v>1</v>
      </c>
      <c r="AA61" s="298">
        <f t="shared" si="8"/>
        <v>9.4339622641509441E-2</v>
      </c>
      <c r="AB61" s="301" t="str">
        <f t="shared" si="9"/>
        <v>32/49</v>
      </c>
      <c r="AC61" s="338" t="str">
        <f t="shared" si="10"/>
        <v>B</v>
      </c>
      <c r="AD61" s="321" t="str">
        <f t="shared" si="11"/>
        <v>Manque 16 Cotes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2</v>
      </c>
      <c r="H62" s="110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0"/>
      <c r="Z62" s="295">
        <f t="shared" si="7"/>
        <v>2</v>
      </c>
      <c r="AA62" s="298">
        <f t="shared" si="8"/>
        <v>0.18867924528301888</v>
      </c>
      <c r="AB62" s="301" t="str">
        <f t="shared" si="9"/>
        <v>27/49</v>
      </c>
      <c r="AC62" s="338" t="str">
        <f t="shared" si="10"/>
        <v>B</v>
      </c>
      <c r="AD62" s="321" t="str">
        <f t="shared" si="11"/>
        <v>Manque 16 Cotes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5</v>
      </c>
      <c r="H63" s="110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0"/>
      <c r="Z63" s="295">
        <f t="shared" si="7"/>
        <v>5</v>
      </c>
      <c r="AA63" s="298">
        <f t="shared" si="8"/>
        <v>0.47169811320754718</v>
      </c>
      <c r="AB63" s="301" t="str">
        <f t="shared" si="9"/>
        <v>5/49</v>
      </c>
      <c r="AC63" s="338" t="str">
        <f t="shared" si="10"/>
        <v>B</v>
      </c>
      <c r="AD63" s="321" t="str">
        <f t="shared" si="11"/>
        <v>Manque 16 Cotes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7</v>
      </c>
      <c r="H64" s="110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0"/>
      <c r="Z64" s="295">
        <f t="shared" si="7"/>
        <v>7</v>
      </c>
      <c r="AA64" s="298">
        <f t="shared" si="8"/>
        <v>0.66037735849056611</v>
      </c>
      <c r="AB64" s="301" t="str">
        <f t="shared" si="9"/>
        <v>4/49</v>
      </c>
      <c r="AC64" s="338" t="str">
        <f t="shared" si="10"/>
        <v>B</v>
      </c>
      <c r="AD64" s="321" t="str">
        <f t="shared" si="11"/>
        <v>Manque 16 Cotes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/>
      <c r="H65" s="110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0"/>
      <c r="Z65" s="295">
        <f t="shared" si="7"/>
        <v>0</v>
      </c>
      <c r="AA65" s="298">
        <f t="shared" si="8"/>
        <v>0</v>
      </c>
      <c r="AB65" s="301" t="str">
        <f t="shared" si="9"/>
        <v>42/49</v>
      </c>
      <c r="AC65" s="338" t="str">
        <f t="shared" si="10"/>
        <v>B</v>
      </c>
      <c r="AD65" s="321" t="str">
        <f t="shared" si="11"/>
        <v>Manque 17 Cotes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8"/>
        <v>0</v>
      </c>
      <c r="AB66" s="301" t="str">
        <f t="shared" si="9"/>
        <v>42/49</v>
      </c>
      <c r="AC66" s="338" t="str">
        <f t="shared" si="10"/>
        <v>B</v>
      </c>
      <c r="AD66" s="321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8"/>
        <v>0</v>
      </c>
      <c r="AB67" s="301" t="str">
        <f t="shared" si="9"/>
        <v>42/49</v>
      </c>
      <c r="AC67" s="338" t="str">
        <f t="shared" si="10"/>
        <v>B</v>
      </c>
      <c r="AD67" s="321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8"/>
        <v>0</v>
      </c>
      <c r="AB68" s="301" t="str">
        <f t="shared" si="9"/>
        <v>42/49</v>
      </c>
      <c r="AC68" s="338" t="str">
        <f t="shared" si="10"/>
        <v>B</v>
      </c>
      <c r="AD68" s="321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8"/>
        <v>0</v>
      </c>
      <c r="AB69" s="301" t="str">
        <f t="shared" si="9"/>
        <v>42/49</v>
      </c>
      <c r="AC69" s="338" t="str">
        <f t="shared" si="10"/>
        <v>B</v>
      </c>
      <c r="AD69" s="321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8"/>
        <v>0</v>
      </c>
      <c r="AB70" s="301" t="str">
        <f t="shared" si="9"/>
        <v>42/49</v>
      </c>
      <c r="AC70" s="338" t="str">
        <f t="shared" si="10"/>
        <v>B</v>
      </c>
      <c r="AD70" s="321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8"/>
        <v>0</v>
      </c>
      <c r="AB71" s="301" t="str">
        <f t="shared" si="9"/>
        <v>42/49</v>
      </c>
      <c r="AC71" s="338" t="str">
        <f t="shared" si="10"/>
        <v>B</v>
      </c>
      <c r="AD71" s="321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8"/>
        <v>0</v>
      </c>
      <c r="AB72" s="301" t="str">
        <f t="shared" si="9"/>
        <v>42/49</v>
      </c>
      <c r="AC72" s="338" t="str">
        <f t="shared" si="10"/>
        <v>B</v>
      </c>
      <c r="AD72" s="321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8"/>
        <v>0</v>
      </c>
      <c r="AB73" s="301" t="str">
        <f t="shared" si="9"/>
        <v>42/49</v>
      </c>
      <c r="AC73" s="338" t="str">
        <f t="shared" si="10"/>
        <v>B</v>
      </c>
      <c r="AD73" s="321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8"/>
        <v>0</v>
      </c>
      <c r="AB74" s="301" t="str">
        <f t="shared" si="9"/>
        <v>42/49</v>
      </c>
      <c r="AC74" s="338" t="str">
        <f t="shared" si="10"/>
        <v>B</v>
      </c>
      <c r="AD74" s="321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8"/>
        <v>0</v>
      </c>
      <c r="AB75" s="301" t="str">
        <f t="shared" si="9"/>
        <v>42/49</v>
      </c>
      <c r="AC75" s="338" t="str">
        <f t="shared" si="10"/>
        <v>B</v>
      </c>
      <c r="AD75" s="321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8"/>
        <v>0</v>
      </c>
      <c r="AB76" s="301" t="str">
        <f t="shared" si="9"/>
        <v>42/49</v>
      </c>
      <c r="AC76" s="338" t="str">
        <f t="shared" si="10"/>
        <v>B</v>
      </c>
      <c r="AD76" s="321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8"/>
        <v>0</v>
      </c>
      <c r="AB77" s="301" t="str">
        <f t="shared" si="9"/>
        <v>42/49</v>
      </c>
      <c r="AC77" s="338" t="str">
        <f t="shared" si="10"/>
        <v>B</v>
      </c>
      <c r="AD77" s="321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8"/>
        <v>0</v>
      </c>
      <c r="AB78" s="301" t="str">
        <f t="shared" si="9"/>
        <v>42/49</v>
      </c>
      <c r="AC78" s="338" t="str">
        <f t="shared" si="10"/>
        <v>B</v>
      </c>
      <c r="AD78" s="321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8"/>
        <v>0</v>
      </c>
      <c r="AB79" s="301" t="str">
        <f t="shared" si="9"/>
        <v>42/49</v>
      </c>
      <c r="AC79" s="338" t="str">
        <f t="shared" si="10"/>
        <v>B</v>
      </c>
      <c r="AD79" s="321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8"/>
        <v>0</v>
      </c>
      <c r="AB80" s="301" t="str">
        <f t="shared" si="9"/>
        <v>42/49</v>
      </c>
      <c r="AC80" s="338" t="str">
        <f t="shared" si="10"/>
        <v>B</v>
      </c>
      <c r="AD80" s="321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8"/>
        <v>0</v>
      </c>
      <c r="AB81" s="301" t="str">
        <f t="shared" si="9"/>
        <v>42/49</v>
      </c>
      <c r="AC81" s="338" t="str">
        <f t="shared" si="10"/>
        <v>B</v>
      </c>
      <c r="AD81" s="321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2">SUM(G82,I82:X82)</f>
        <v>0</v>
      </c>
      <c r="AA82" s="298">
        <f t="shared" ref="AA82:AA122" si="13">(Z82/$Z$15)*100</f>
        <v>0</v>
      </c>
      <c r="AB82" s="301" t="str">
        <f t="shared" ref="AB82:AB122" si="14">RANK(AA82,AA$17:AA$122,0) &amp;"/"&amp; COUNTA($B$17:$B$122)</f>
        <v>42/49</v>
      </c>
      <c r="AC82" s="338" t="str">
        <f t="shared" ref="AC82:AC122" si="15">IF(AA82&gt;60,"TB","B")</f>
        <v>B</v>
      </c>
      <c r="AD82" s="321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2"/>
        <v>0</v>
      </c>
      <c r="AA83" s="298">
        <f t="shared" si="13"/>
        <v>0</v>
      </c>
      <c r="AB83" s="301" t="str">
        <f t="shared" si="14"/>
        <v>42/49</v>
      </c>
      <c r="AC83" s="338" t="str">
        <f t="shared" si="15"/>
        <v>B</v>
      </c>
      <c r="AD83" s="321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2"/>
        <v>0</v>
      </c>
      <c r="AA84" s="298">
        <f t="shared" si="13"/>
        <v>0</v>
      </c>
      <c r="AB84" s="301" t="str">
        <f t="shared" si="14"/>
        <v>42/49</v>
      </c>
      <c r="AC84" s="338" t="str">
        <f t="shared" si="15"/>
        <v>B</v>
      </c>
      <c r="AD84" s="321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2"/>
        <v>0</v>
      </c>
      <c r="AA85" s="298">
        <f t="shared" si="13"/>
        <v>0</v>
      </c>
      <c r="AB85" s="301" t="str">
        <f t="shared" si="14"/>
        <v>42/49</v>
      </c>
      <c r="AC85" s="338" t="str">
        <f t="shared" si="15"/>
        <v>B</v>
      </c>
      <c r="AD85" s="321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2"/>
        <v>0</v>
      </c>
      <c r="AA86" s="298">
        <f t="shared" si="13"/>
        <v>0</v>
      </c>
      <c r="AB86" s="301" t="str">
        <f t="shared" si="14"/>
        <v>42/49</v>
      </c>
      <c r="AC86" s="338" t="str">
        <f t="shared" si="15"/>
        <v>B</v>
      </c>
      <c r="AD86" s="321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2"/>
        <v>0</v>
      </c>
      <c r="AA87" s="298">
        <f t="shared" si="13"/>
        <v>0</v>
      </c>
      <c r="AB87" s="301" t="str">
        <f t="shared" si="14"/>
        <v>42/49</v>
      </c>
      <c r="AC87" s="338" t="str">
        <f t="shared" si="15"/>
        <v>B</v>
      </c>
      <c r="AD87" s="321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2"/>
        <v>0</v>
      </c>
      <c r="AA88" s="298">
        <f t="shared" si="13"/>
        <v>0</v>
      </c>
      <c r="AB88" s="301" t="str">
        <f t="shared" si="14"/>
        <v>42/49</v>
      </c>
      <c r="AC88" s="338" t="str">
        <f t="shared" si="15"/>
        <v>B</v>
      </c>
      <c r="AD88" s="321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2"/>
        <v>0</v>
      </c>
      <c r="AA89" s="298">
        <f t="shared" si="13"/>
        <v>0</v>
      </c>
      <c r="AB89" s="301" t="str">
        <f t="shared" si="14"/>
        <v>42/49</v>
      </c>
      <c r="AC89" s="338" t="str">
        <f t="shared" si="15"/>
        <v>B</v>
      </c>
      <c r="AD89" s="321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2"/>
        <v>0</v>
      </c>
      <c r="AA90" s="298">
        <f t="shared" si="13"/>
        <v>0</v>
      </c>
      <c r="AB90" s="301" t="str">
        <f t="shared" si="14"/>
        <v>42/49</v>
      </c>
      <c r="AC90" s="338" t="str">
        <f t="shared" si="15"/>
        <v>B</v>
      </c>
      <c r="AD90" s="321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2"/>
        <v>0</v>
      </c>
      <c r="AA91" s="298">
        <f t="shared" si="13"/>
        <v>0</v>
      </c>
      <c r="AB91" s="301" t="str">
        <f t="shared" si="14"/>
        <v>42/49</v>
      </c>
      <c r="AC91" s="338" t="str">
        <f t="shared" si="15"/>
        <v>B</v>
      </c>
      <c r="AD91" s="321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2"/>
        <v>0</v>
      </c>
      <c r="AA92" s="298">
        <f t="shared" si="13"/>
        <v>0</v>
      </c>
      <c r="AB92" s="301" t="str">
        <f t="shared" si="14"/>
        <v>42/49</v>
      </c>
      <c r="AC92" s="338" t="str">
        <f t="shared" si="15"/>
        <v>B</v>
      </c>
      <c r="AD92" s="321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2"/>
        <v>0</v>
      </c>
      <c r="AA93" s="298">
        <f t="shared" si="13"/>
        <v>0</v>
      </c>
      <c r="AB93" s="301" t="str">
        <f t="shared" si="14"/>
        <v>42/49</v>
      </c>
      <c r="AC93" s="338" t="str">
        <f t="shared" si="15"/>
        <v>B</v>
      </c>
      <c r="AD93" s="321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2"/>
        <v>0</v>
      </c>
      <c r="AA94" s="298">
        <f t="shared" si="13"/>
        <v>0</v>
      </c>
      <c r="AB94" s="301" t="str">
        <f t="shared" si="14"/>
        <v>42/49</v>
      </c>
      <c r="AC94" s="338" t="str">
        <f t="shared" si="15"/>
        <v>B</v>
      </c>
      <c r="AD94" s="321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2"/>
        <v>0</v>
      </c>
      <c r="AA95" s="298">
        <f t="shared" si="13"/>
        <v>0</v>
      </c>
      <c r="AB95" s="301" t="str">
        <f t="shared" si="14"/>
        <v>42/49</v>
      </c>
      <c r="AC95" s="338" t="str">
        <f t="shared" si="15"/>
        <v>B</v>
      </c>
      <c r="AD95" s="321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2"/>
        <v>0</v>
      </c>
      <c r="AA96" s="298">
        <f t="shared" si="13"/>
        <v>0</v>
      </c>
      <c r="AB96" s="301" t="str">
        <f t="shared" si="14"/>
        <v>42/49</v>
      </c>
      <c r="AC96" s="338" t="str">
        <f t="shared" si="15"/>
        <v>B</v>
      </c>
      <c r="AD96" s="321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2"/>
        <v>0</v>
      </c>
      <c r="AA97" s="298">
        <f t="shared" si="13"/>
        <v>0</v>
      </c>
      <c r="AB97" s="301" t="str">
        <f t="shared" si="14"/>
        <v>42/49</v>
      </c>
      <c r="AC97" s="338" t="str">
        <f t="shared" si="15"/>
        <v>B</v>
      </c>
      <c r="AD97" s="321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2"/>
        <v>0</v>
      </c>
      <c r="AA98" s="298">
        <f t="shared" si="13"/>
        <v>0</v>
      </c>
      <c r="AB98" s="301" t="str">
        <f t="shared" si="14"/>
        <v>42/49</v>
      </c>
      <c r="AC98" s="338" t="str">
        <f t="shared" si="15"/>
        <v>B</v>
      </c>
      <c r="AD98" s="321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2"/>
        <v>0</v>
      </c>
      <c r="AA99" s="298">
        <f t="shared" si="13"/>
        <v>0</v>
      </c>
      <c r="AB99" s="301" t="str">
        <f t="shared" si="14"/>
        <v>42/49</v>
      </c>
      <c r="AC99" s="338" t="str">
        <f t="shared" si="15"/>
        <v>B</v>
      </c>
      <c r="AD99" s="321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2"/>
        <v>0</v>
      </c>
      <c r="AA100" s="298">
        <f t="shared" si="13"/>
        <v>0</v>
      </c>
      <c r="AB100" s="301" t="str">
        <f t="shared" si="14"/>
        <v>42/49</v>
      </c>
      <c r="AC100" s="338" t="str">
        <f t="shared" si="15"/>
        <v>B</v>
      </c>
      <c r="AD100" s="321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2"/>
        <v>0</v>
      </c>
      <c r="AA101" s="298">
        <f t="shared" si="13"/>
        <v>0</v>
      </c>
      <c r="AB101" s="301" t="str">
        <f t="shared" si="14"/>
        <v>42/49</v>
      </c>
      <c r="AC101" s="338" t="str">
        <f t="shared" si="15"/>
        <v>B</v>
      </c>
      <c r="AD101" s="321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2"/>
        <v>0</v>
      </c>
      <c r="AA102" s="298">
        <f t="shared" si="13"/>
        <v>0</v>
      </c>
      <c r="AB102" s="301" t="str">
        <f t="shared" si="14"/>
        <v>42/49</v>
      </c>
      <c r="AC102" s="338" t="str">
        <f t="shared" si="15"/>
        <v>B</v>
      </c>
      <c r="AD102" s="321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2"/>
        <v>0</v>
      </c>
      <c r="AA103" s="298">
        <f t="shared" si="13"/>
        <v>0</v>
      </c>
      <c r="AB103" s="301" t="str">
        <f t="shared" si="14"/>
        <v>42/49</v>
      </c>
      <c r="AC103" s="338" t="str">
        <f t="shared" si="15"/>
        <v>B</v>
      </c>
      <c r="AD103" s="321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2"/>
        <v>0</v>
      </c>
      <c r="AA104" s="298">
        <f t="shared" si="13"/>
        <v>0</v>
      </c>
      <c r="AB104" s="301" t="str">
        <f t="shared" si="14"/>
        <v>42/49</v>
      </c>
      <c r="AC104" s="338" t="str">
        <f t="shared" si="15"/>
        <v>B</v>
      </c>
      <c r="AD104" s="321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2"/>
        <v>0</v>
      </c>
      <c r="AA105" s="298">
        <f t="shared" si="13"/>
        <v>0</v>
      </c>
      <c r="AB105" s="301" t="str">
        <f t="shared" si="14"/>
        <v>42/49</v>
      </c>
      <c r="AC105" s="338" t="str">
        <f t="shared" si="15"/>
        <v>B</v>
      </c>
      <c r="AD105" s="321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2"/>
        <v>0</v>
      </c>
      <c r="AA106" s="298">
        <f t="shared" si="13"/>
        <v>0</v>
      </c>
      <c r="AB106" s="301" t="str">
        <f t="shared" si="14"/>
        <v>42/49</v>
      </c>
      <c r="AC106" s="338" t="str">
        <f t="shared" si="15"/>
        <v>B</v>
      </c>
      <c r="AD106" s="321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2"/>
        <v>0</v>
      </c>
      <c r="AA107" s="298">
        <f t="shared" si="13"/>
        <v>0</v>
      </c>
      <c r="AB107" s="301" t="str">
        <f t="shared" si="14"/>
        <v>42/49</v>
      </c>
      <c r="AC107" s="338" t="str">
        <f t="shared" si="15"/>
        <v>B</v>
      </c>
      <c r="AD107" s="321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2"/>
        <v>0</v>
      </c>
      <c r="AA108" s="298">
        <f t="shared" si="13"/>
        <v>0</v>
      </c>
      <c r="AB108" s="301" t="str">
        <f t="shared" si="14"/>
        <v>42/49</v>
      </c>
      <c r="AC108" s="338" t="str">
        <f t="shared" si="15"/>
        <v>B</v>
      </c>
      <c r="AD108" s="321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2"/>
        <v>0</v>
      </c>
      <c r="AA109" s="298">
        <f t="shared" si="13"/>
        <v>0</v>
      </c>
      <c r="AB109" s="301" t="str">
        <f t="shared" si="14"/>
        <v>42/49</v>
      </c>
      <c r="AC109" s="338" t="str">
        <f t="shared" si="15"/>
        <v>B</v>
      </c>
      <c r="AD109" s="321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2"/>
        <v>0</v>
      </c>
      <c r="AA110" s="298">
        <f t="shared" si="13"/>
        <v>0</v>
      </c>
      <c r="AB110" s="301" t="str">
        <f t="shared" si="14"/>
        <v>42/49</v>
      </c>
      <c r="AC110" s="338" t="str">
        <f t="shared" si="15"/>
        <v>B</v>
      </c>
      <c r="AD110" s="321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2"/>
        <v>0</v>
      </c>
      <c r="AA111" s="298">
        <f t="shared" si="13"/>
        <v>0</v>
      </c>
      <c r="AB111" s="301" t="str">
        <f t="shared" si="14"/>
        <v>42/49</v>
      </c>
      <c r="AC111" s="338" t="str">
        <f t="shared" si="15"/>
        <v>B</v>
      </c>
      <c r="AD111" s="321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2"/>
        <v>0</v>
      </c>
      <c r="AA112" s="298">
        <f t="shared" si="13"/>
        <v>0</v>
      </c>
      <c r="AB112" s="301" t="str">
        <f t="shared" si="14"/>
        <v>42/49</v>
      </c>
      <c r="AC112" s="338" t="str">
        <f t="shared" si="15"/>
        <v>B</v>
      </c>
      <c r="AD112" s="321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2"/>
        <v>0</v>
      </c>
      <c r="AA113" s="298">
        <f t="shared" si="13"/>
        <v>0</v>
      </c>
      <c r="AB113" s="301" t="str">
        <f t="shared" si="14"/>
        <v>42/49</v>
      </c>
      <c r="AC113" s="338" t="str">
        <f t="shared" si="15"/>
        <v>B</v>
      </c>
      <c r="AD113" s="321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2"/>
        <v>0</v>
      </c>
      <c r="AA114" s="298">
        <f t="shared" si="13"/>
        <v>0</v>
      </c>
      <c r="AB114" s="301" t="str">
        <f t="shared" si="14"/>
        <v>42/49</v>
      </c>
      <c r="AC114" s="338" t="str">
        <f t="shared" si="15"/>
        <v>B</v>
      </c>
      <c r="AD114" s="321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2"/>
        <v>0</v>
      </c>
      <c r="AA115" s="298">
        <f t="shared" si="13"/>
        <v>0</v>
      </c>
      <c r="AB115" s="301" t="str">
        <f t="shared" si="14"/>
        <v>42/49</v>
      </c>
      <c r="AC115" s="338" t="str">
        <f t="shared" si="15"/>
        <v>B</v>
      </c>
      <c r="AD115" s="321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2"/>
        <v>0</v>
      </c>
      <c r="AA116" s="298">
        <f t="shared" si="13"/>
        <v>0</v>
      </c>
      <c r="AB116" s="301" t="str">
        <f t="shared" si="14"/>
        <v>42/49</v>
      </c>
      <c r="AC116" s="338" t="str">
        <f t="shared" si="15"/>
        <v>B</v>
      </c>
      <c r="AD116" s="321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2"/>
        <v>0</v>
      </c>
      <c r="AA117" s="298">
        <f t="shared" si="13"/>
        <v>0</v>
      </c>
      <c r="AB117" s="301" t="str">
        <f t="shared" si="14"/>
        <v>42/49</v>
      </c>
      <c r="AC117" s="338" t="str">
        <f t="shared" si="15"/>
        <v>B</v>
      </c>
      <c r="AD117" s="321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2"/>
        <v>0</v>
      </c>
      <c r="AA118" s="298">
        <f t="shared" si="13"/>
        <v>0</v>
      </c>
      <c r="AB118" s="301" t="str">
        <f t="shared" si="14"/>
        <v>42/49</v>
      </c>
      <c r="AC118" s="338" t="str">
        <f t="shared" si="15"/>
        <v>B</v>
      </c>
      <c r="AD118" s="321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2"/>
        <v>0</v>
      </c>
      <c r="AA119" s="298">
        <f t="shared" si="13"/>
        <v>0</v>
      </c>
      <c r="AB119" s="301" t="str">
        <f t="shared" si="14"/>
        <v>42/49</v>
      </c>
      <c r="AC119" s="338" t="str">
        <f t="shared" si="15"/>
        <v>B</v>
      </c>
      <c r="AD119" s="321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2"/>
        <v>0</v>
      </c>
      <c r="AA120" s="298">
        <f t="shared" si="13"/>
        <v>0</v>
      </c>
      <c r="AB120" s="301" t="str">
        <f t="shared" si="14"/>
        <v>42/49</v>
      </c>
      <c r="AC120" s="338" t="str">
        <f t="shared" si="15"/>
        <v>B</v>
      </c>
      <c r="AD120" s="321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2"/>
        <v>0</v>
      </c>
      <c r="AA121" s="298">
        <f t="shared" si="13"/>
        <v>0</v>
      </c>
      <c r="AB121" s="301" t="str">
        <f t="shared" si="14"/>
        <v>42/49</v>
      </c>
      <c r="AC121" s="338" t="str">
        <f t="shared" si="15"/>
        <v>B</v>
      </c>
      <c r="AD121" s="321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2"/>
        <v>0</v>
      </c>
      <c r="AA122" s="299">
        <f t="shared" si="13"/>
        <v>0</v>
      </c>
      <c r="AB122" s="301" t="str">
        <f t="shared" si="14"/>
        <v>42/49</v>
      </c>
      <c r="AC122" s="338" t="str">
        <f t="shared" si="15"/>
        <v>B</v>
      </c>
      <c r="AD122" s="322" t="str">
        <f t="shared" si="16"/>
        <v>Manque 17 Cotes</v>
      </c>
    </row>
  </sheetData>
  <sheetProtection selectLockedCells="1"/>
  <mergeCells count="1">
    <mergeCell ref="F13:Q13"/>
  </mergeCells>
  <conditionalFormatting sqref="G17:G122">
    <cfRule type="cellIs" dxfId="66" priority="13" operator="lessThan">
      <formula>10</formula>
    </cfRule>
  </conditionalFormatting>
  <conditionalFormatting sqref="I17:I122">
    <cfRule type="cellIs" dxfId="65" priority="12" operator="lessThan">
      <formula>10</formula>
    </cfRule>
  </conditionalFormatting>
  <conditionalFormatting sqref="J17:K122">
    <cfRule type="cellIs" dxfId="64" priority="3" operator="lessThan">
      <formula>5</formula>
    </cfRule>
  </conditionalFormatting>
  <conditionalFormatting sqref="L17:M122">
    <cfRule type="cellIs" dxfId="63" priority="11" operator="lessThan">
      <formula>15</formula>
    </cfRule>
  </conditionalFormatting>
  <conditionalFormatting sqref="N17:N122">
    <cfRule type="cellIs" dxfId="62" priority="10" operator="lessThan">
      <formula>5</formula>
    </cfRule>
  </conditionalFormatting>
  <conditionalFormatting sqref="O17:O122">
    <cfRule type="cellIs" dxfId="61" priority="9" operator="lessThan">
      <formula>15</formula>
    </cfRule>
  </conditionalFormatting>
  <conditionalFormatting sqref="P17:P122">
    <cfRule type="cellIs" dxfId="60" priority="8" operator="lessThan">
      <formula>25</formula>
    </cfRule>
  </conditionalFormatting>
  <conditionalFormatting sqref="Q17:S122">
    <cfRule type="cellIs" dxfId="59" priority="7" operator="lessThan">
      <formula>10</formula>
    </cfRule>
  </conditionalFormatting>
  <conditionalFormatting sqref="T17:T122">
    <cfRule type="cellIs" dxfId="58" priority="6" operator="lessThan">
      <formula>5</formula>
    </cfRule>
  </conditionalFormatting>
  <conditionalFormatting sqref="U17:V122">
    <cfRule type="cellIs" dxfId="57" priority="5" operator="lessThan">
      <formula>10</formula>
    </cfRule>
  </conditionalFormatting>
  <conditionalFormatting sqref="W17:X122">
    <cfRule type="cellIs" dxfId="56" priority="4" operator="lessThan">
      <formula>5</formula>
    </cfRule>
  </conditionalFormatting>
  <conditionalFormatting sqref="E17:E122">
    <cfRule type="containsText" dxfId="55" priority="1" operator="containsText" text="Abandon">
      <formula>NOT(ISERROR(SEARCH("Abandon",E17)))</formula>
    </cfRule>
    <cfRule type="expression" dxfId="54" priority="2">
      <formula>E17 = "Abandon"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CA6E7-B708-4910-97AD-CB4320E739D4}">
  <sheetPr codeName="Feuil11"/>
  <dimension ref="A1:M122"/>
  <sheetViews>
    <sheetView zoomScale="80" zoomScaleNormal="80" workbookViewId="0">
      <selection activeCell="L14" sqref="L14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8" width="5.7109375" customWidth="1"/>
    <col min="9" max="9" width="7" bestFit="1" customWidth="1"/>
    <col min="10" max="10" width="5.7109375" customWidth="1"/>
    <col min="11" max="11" width="6.42578125" bestFit="1" customWidth="1"/>
    <col min="12" max="12" width="6.42578125" customWidth="1"/>
    <col min="13" max="13" width="18.28515625" customWidth="1"/>
  </cols>
  <sheetData>
    <row r="1" spans="1:13" ht="8.25" customHeight="1" x14ac:dyDescent="0.25"/>
    <row r="2" spans="1:13" ht="24" thickBot="1" x14ac:dyDescent="0.4">
      <c r="B2" s="80" t="str">
        <f>DashBoard!S7</f>
        <v>2ème HTS</v>
      </c>
      <c r="C2" s="81"/>
      <c r="D2" s="81"/>
      <c r="E2" s="81"/>
    </row>
    <row r="3" spans="1:13" ht="24" thickBot="1" x14ac:dyDescent="0.4">
      <c r="B3" s="82" t="s">
        <v>153</v>
      </c>
      <c r="C3" s="83"/>
      <c r="D3" s="84"/>
      <c r="E3" s="81"/>
      <c r="F3" s="105"/>
      <c r="G3" s="105"/>
      <c r="H3" s="105"/>
      <c r="I3" s="105"/>
      <c r="J3" s="105"/>
      <c r="K3" s="105"/>
      <c r="L3" s="105"/>
      <c r="M3" s="105"/>
    </row>
    <row r="4" spans="1:13" ht="8.25" customHeight="1" thickBot="1" x14ac:dyDescent="0.4">
      <c r="C4" s="87"/>
      <c r="D4" s="87"/>
      <c r="E4" s="87"/>
      <c r="F4" s="105"/>
      <c r="G4" s="87"/>
      <c r="H4" s="87"/>
      <c r="I4" s="87"/>
      <c r="J4" s="87"/>
      <c r="K4" s="87"/>
      <c r="L4" s="87"/>
      <c r="M4" s="87"/>
    </row>
    <row r="5" spans="1:13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2"/>
    </row>
    <row r="6" spans="1:13" x14ac:dyDescent="0.25">
      <c r="A6" s="88"/>
      <c r="B6" s="91" t="s">
        <v>164</v>
      </c>
      <c r="C6" s="92"/>
      <c r="D6" s="93"/>
      <c r="E6" s="93"/>
      <c r="F6" s="141">
        <f t="shared" ref="F6:H6" si="0">IFERROR(COUNTIF(F17:F122,"&gt;="&amp;F15/2),0)</f>
        <v>8</v>
      </c>
      <c r="G6" s="141">
        <f t="shared" si="0"/>
        <v>0</v>
      </c>
      <c r="H6" s="141">
        <f t="shared" si="0"/>
        <v>0</v>
      </c>
      <c r="I6" s="93"/>
      <c r="J6" s="93"/>
      <c r="K6" s="93"/>
      <c r="L6" s="93"/>
      <c r="M6" s="94"/>
    </row>
    <row r="7" spans="1:13" x14ac:dyDescent="0.25">
      <c r="A7" s="88"/>
      <c r="B7" s="95" t="s">
        <v>165</v>
      </c>
      <c r="C7" s="90"/>
      <c r="D7" s="109"/>
      <c r="E7" s="109"/>
      <c r="F7" s="145">
        <f t="shared" ref="F7:H7" si="1">IFERROR(COUNTIF(F17:F122,"&lt;"&amp;F15/2),0)</f>
        <v>41</v>
      </c>
      <c r="G7" s="145">
        <f t="shared" si="1"/>
        <v>49</v>
      </c>
      <c r="H7" s="145">
        <f t="shared" si="1"/>
        <v>49</v>
      </c>
      <c r="I7" s="109"/>
      <c r="J7" s="109"/>
      <c r="K7" s="109"/>
      <c r="L7" s="109"/>
      <c r="M7" s="96"/>
    </row>
    <row r="8" spans="1:13" s="85" customFormat="1" x14ac:dyDescent="0.25">
      <c r="A8" s="88"/>
      <c r="B8" s="95" t="s">
        <v>166</v>
      </c>
      <c r="C8" s="90"/>
      <c r="D8" s="109"/>
      <c r="E8" s="109"/>
      <c r="F8" s="145">
        <f>IFERROR(IF((COUNTIF(F17:F122,"") - (COUNTIF(F17:F122,"") - COUNTA(#REF!)))-COUNTA(F17:F122)&lt;0,0,(COUNTIF(F17:F122,"") - (COUNTIF(F17:F122,"") - COUNTA(#REF!)))-COUNTA(F17:F122)),0)</f>
        <v>0</v>
      </c>
      <c r="G8" s="145">
        <f>IFERROR(IF((COUNTIF(G17:G122,"") - (COUNTIF(G17:G122,"") - COUNTA(#REF!)))-COUNTA(G17:G122)&lt;0,0,(COUNTIF(G17:G122,"") - (COUNTIF(G17:G122,"") - COUNTA(#REF!)))-COUNTA(G17:G122)),0)</f>
        <v>0</v>
      </c>
      <c r="H8" s="145">
        <f>IFERROR(IF((COUNTIF(H17:H122,"") - (COUNTIF(H17:H122,"") - COUNTA(#REF!)))-COUNTA(H17:H122)&lt;0,0,(COUNTIF(H17:H122,"") - (COUNTIF(H17:H122,"") - COUNTA(#REF!)))-COUNTA(H17:H122)),0)</f>
        <v>0</v>
      </c>
      <c r="I8" s="109"/>
      <c r="J8" s="109"/>
      <c r="K8" s="109"/>
      <c r="L8" s="109"/>
      <c r="M8" s="96"/>
    </row>
    <row r="9" spans="1:13" s="85" customFormat="1" x14ac:dyDescent="0.25">
      <c r="A9" s="88"/>
      <c r="B9" s="95" t="s">
        <v>167</v>
      </c>
      <c r="C9" s="90"/>
      <c r="D9" s="109"/>
      <c r="E9" s="109"/>
      <c r="F9" s="145">
        <f>IFERROR(SUM(#REF!),0)</f>
        <v>0</v>
      </c>
      <c r="G9" s="145">
        <f>IFERROR(SUM(#REF!),0)</f>
        <v>0</v>
      </c>
      <c r="H9" s="145">
        <f>IFERROR(SUM(#REF!),0)</f>
        <v>0</v>
      </c>
      <c r="I9" s="109"/>
      <c r="J9" s="109"/>
      <c r="K9" s="109"/>
      <c r="L9" s="109"/>
      <c r="M9" s="96"/>
    </row>
    <row r="10" spans="1:13" x14ac:dyDescent="0.25">
      <c r="A10" s="88"/>
      <c r="B10" s="95" t="s">
        <v>168</v>
      </c>
      <c r="C10" s="90"/>
      <c r="D10" s="109"/>
      <c r="E10" s="109"/>
      <c r="F10" s="145">
        <f t="shared" ref="F10:G10" si="2">IFERROR(F6/(F6+F7)*100,0)</f>
        <v>16.326530612244898</v>
      </c>
      <c r="G10" s="145">
        <f t="shared" si="2"/>
        <v>0</v>
      </c>
      <c r="H10" s="145" t="s">
        <v>194</v>
      </c>
      <c r="I10" s="109"/>
      <c r="J10" s="109"/>
      <c r="K10" s="109"/>
      <c r="L10" s="109"/>
      <c r="M10" s="96"/>
    </row>
    <row r="11" spans="1:13" x14ac:dyDescent="0.25">
      <c r="A11" s="88"/>
      <c r="B11" s="95" t="s">
        <v>169</v>
      </c>
      <c r="C11" s="90"/>
      <c r="D11" s="109"/>
      <c r="E11" s="109"/>
      <c r="F11" s="145">
        <f t="shared" ref="F11:H11" si="3">IFERROR(F7/(F6+F7)*100,0)</f>
        <v>83.673469387755105</v>
      </c>
      <c r="G11" s="145">
        <f t="shared" si="3"/>
        <v>100</v>
      </c>
      <c r="H11" s="145">
        <f t="shared" si="3"/>
        <v>100</v>
      </c>
      <c r="I11" s="109"/>
      <c r="J11" s="109"/>
      <c r="K11" s="109"/>
      <c r="L11" s="109"/>
      <c r="M11" s="96"/>
    </row>
    <row r="12" spans="1:13" ht="15.75" thickBot="1" x14ac:dyDescent="0.3">
      <c r="A12" s="88"/>
      <c r="B12" s="97" t="s">
        <v>170</v>
      </c>
      <c r="C12" s="98"/>
      <c r="D12" s="99"/>
      <c r="E12" s="99"/>
      <c r="F12" s="149">
        <f t="shared" ref="F12:H12" si="4">IFERROR(AVERAGE(F17:F122),0)</f>
        <v>252.08163265306123</v>
      </c>
      <c r="G12" s="149">
        <f t="shared" si="4"/>
        <v>52.4</v>
      </c>
      <c r="H12" s="149">
        <f t="shared" si="4"/>
        <v>3.306122448979592</v>
      </c>
      <c r="I12" s="99"/>
      <c r="J12" s="99"/>
      <c r="K12" s="99"/>
      <c r="L12" s="99"/>
      <c r="M12" s="100"/>
    </row>
    <row r="13" spans="1:13" ht="15.75" thickBot="1" x14ac:dyDescent="0.3">
      <c r="A13" s="88"/>
      <c r="C13" s="89"/>
      <c r="D13" s="89"/>
      <c r="E13" s="89"/>
    </row>
    <row r="14" spans="1:13" ht="73.5" thickBot="1" x14ac:dyDescent="0.75">
      <c r="A14" s="121"/>
      <c r="B14" s="122" t="s">
        <v>157</v>
      </c>
      <c r="C14" s="123"/>
      <c r="D14" s="258" t="s">
        <v>257</v>
      </c>
      <c r="E14" s="244" t="s">
        <v>221</v>
      </c>
      <c r="F14" s="114" t="s">
        <v>30</v>
      </c>
      <c r="G14" s="114" t="s">
        <v>31</v>
      </c>
      <c r="H14" s="114" t="s">
        <v>32</v>
      </c>
      <c r="I14" s="112" t="s">
        <v>158</v>
      </c>
      <c r="J14" s="112" t="s">
        <v>159</v>
      </c>
      <c r="K14" s="114" t="s">
        <v>160</v>
      </c>
      <c r="L14" s="114" t="s">
        <v>236</v>
      </c>
      <c r="M14" s="138" t="s">
        <v>193</v>
      </c>
    </row>
    <row r="15" spans="1:13" ht="16.5" thickBot="1" x14ac:dyDescent="0.3">
      <c r="A15" s="124"/>
      <c r="B15" s="125" t="s">
        <v>173</v>
      </c>
      <c r="C15" s="126"/>
      <c r="D15" s="108"/>
      <c r="E15" s="108"/>
      <c r="F15" s="118">
        <f>'P1'!Z15</f>
        <v>530</v>
      </c>
      <c r="G15" s="118">
        <f>'P2'!Z15</f>
        <v>530</v>
      </c>
      <c r="H15" s="118">
        <f>EXAM1!Z15</f>
        <v>1060</v>
      </c>
      <c r="I15" s="293">
        <f>SUM(F15:H15)</f>
        <v>2120</v>
      </c>
      <c r="J15" s="297"/>
      <c r="K15" s="134"/>
      <c r="L15" s="134"/>
      <c r="M15" s="136"/>
    </row>
    <row r="16" spans="1:13" ht="15.75" thickBot="1" x14ac:dyDescent="0.3">
      <c r="A16" s="128" t="s">
        <v>172</v>
      </c>
      <c r="B16" s="128" t="s">
        <v>161</v>
      </c>
      <c r="C16" s="128" t="s">
        <v>162</v>
      </c>
      <c r="D16" s="129" t="s">
        <v>163</v>
      </c>
      <c r="E16" s="245"/>
      <c r="F16" s="131">
        <v>1</v>
      </c>
      <c r="G16" s="131">
        <v>2</v>
      </c>
      <c r="H16" s="131">
        <v>3</v>
      </c>
      <c r="I16" s="133"/>
      <c r="J16" s="133"/>
      <c r="K16" s="135"/>
      <c r="L16" s="135"/>
      <c r="M16" s="137"/>
    </row>
    <row r="17" spans="1:13" ht="15.75" thickBot="1" x14ac:dyDescent="0.3">
      <c r="A17" s="152" t="s">
        <v>142</v>
      </c>
      <c r="B17" s="51" t="s">
        <v>48</v>
      </c>
      <c r="C17" s="51" t="s">
        <v>255</v>
      </c>
      <c r="E17" s="53" t="s">
        <v>144</v>
      </c>
      <c r="F17" s="127">
        <v>0</v>
      </c>
      <c r="G17" s="127">
        <v>0</v>
      </c>
      <c r="H17" s="127">
        <v>0</v>
      </c>
      <c r="I17" s="294">
        <f>SUM(F17:H17)</f>
        <v>0</v>
      </c>
      <c r="J17" s="298">
        <f>(I17/$I$15)*100</f>
        <v>0</v>
      </c>
      <c r="K17" s="301" t="str">
        <f>RANK(J17,J$17:J$122,0) &amp;"/"&amp; COUNTA($B$17:$B$122)</f>
        <v>43/49</v>
      </c>
      <c r="L17" s="339" t="str">
        <f>IF(AA17&gt;60,"TB","B")</f>
        <v>B</v>
      </c>
      <c r="M17" s="139" t="str">
        <f>IF(J17&gt;=DashBoard!$O$11,"Pass","Echoue")</f>
        <v>Echoue</v>
      </c>
    </row>
    <row r="18" spans="1:13" ht="15.75" thickBot="1" x14ac:dyDescent="0.3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1">
        <v>0</v>
      </c>
      <c r="G18" s="111">
        <v>0</v>
      </c>
      <c r="H18" s="111">
        <v>0</v>
      </c>
      <c r="I18" s="294">
        <f t="shared" ref="I18:I81" si="5">SUM(F18:H18)</f>
        <v>0</v>
      </c>
      <c r="J18" s="298">
        <f t="shared" ref="J18:J81" si="6">(I18/$I$15)*100</f>
        <v>0</v>
      </c>
      <c r="K18" s="301" t="str">
        <f t="shared" ref="K18:K81" si="7">RANK(J18,J$17:J$122,0) &amp;"/"&amp; COUNTA($B$17:$B$122)</f>
        <v>43/49</v>
      </c>
      <c r="L18" s="339" t="str">
        <f t="shared" ref="L18:L81" si="8">IF(AA18&gt;60,"TB","B")</f>
        <v>B</v>
      </c>
      <c r="M18" s="139" t="str">
        <f>IF(J18&gt;=DashBoard!$O$11,"Pass","Echoue")</f>
        <v>Echoue</v>
      </c>
    </row>
    <row r="19" spans="1:13" ht="15.75" thickBot="1" x14ac:dyDescent="0.3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1">
        <v>0</v>
      </c>
      <c r="G19" s="111">
        <v>0</v>
      </c>
      <c r="H19" s="111">
        <v>0</v>
      </c>
      <c r="I19" s="294">
        <f t="shared" si="5"/>
        <v>0</v>
      </c>
      <c r="J19" s="298">
        <f t="shared" si="6"/>
        <v>0</v>
      </c>
      <c r="K19" s="301" t="str">
        <f t="shared" si="7"/>
        <v>43/49</v>
      </c>
      <c r="L19" s="339" t="str">
        <f t="shared" si="8"/>
        <v>B</v>
      </c>
      <c r="M19" s="139" t="str">
        <f>IF(J19&gt;=DashBoard!$O$11,"Pass","Echoue")</f>
        <v>Echoue</v>
      </c>
    </row>
    <row r="20" spans="1:13" ht="15.75" thickBot="1" x14ac:dyDescent="0.3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1">
        <v>0</v>
      </c>
      <c r="G20" s="111">
        <v>0</v>
      </c>
      <c r="H20" s="111">
        <v>0</v>
      </c>
      <c r="I20" s="294">
        <f t="shared" si="5"/>
        <v>0</v>
      </c>
      <c r="J20" s="298">
        <f t="shared" si="6"/>
        <v>0</v>
      </c>
      <c r="K20" s="301" t="str">
        <f t="shared" si="7"/>
        <v>43/49</v>
      </c>
      <c r="L20" s="339" t="str">
        <f t="shared" si="8"/>
        <v>B</v>
      </c>
      <c r="M20" s="139" t="str">
        <f>IF(J20&gt;=DashBoard!$O$11,"Pass","Echoue")</f>
        <v>Echoue</v>
      </c>
    </row>
    <row r="21" spans="1:13" ht="15.75" thickBot="1" x14ac:dyDescent="0.3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1">
        <v>170</v>
      </c>
      <c r="G21" s="111">
        <v>85</v>
      </c>
      <c r="H21" s="111">
        <v>8</v>
      </c>
      <c r="I21" s="294">
        <f t="shared" si="5"/>
        <v>263</v>
      </c>
      <c r="J21" s="298">
        <f t="shared" si="6"/>
        <v>12.40566037735849</v>
      </c>
      <c r="K21" s="301" t="str">
        <f t="shared" si="7"/>
        <v>13/49</v>
      </c>
      <c r="L21" s="339" t="str">
        <f t="shared" si="8"/>
        <v>B</v>
      </c>
      <c r="M21" s="139" t="str">
        <f>IF(J21&gt;=DashBoard!$O$11,"Pass","Echoue")</f>
        <v>Echoue</v>
      </c>
    </row>
    <row r="22" spans="1:13" ht="15.75" thickBot="1" x14ac:dyDescent="0.3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1">
        <v>68</v>
      </c>
      <c r="G22" s="111">
        <v>64</v>
      </c>
      <c r="H22" s="111">
        <v>2</v>
      </c>
      <c r="I22" s="294">
        <f t="shared" si="5"/>
        <v>134</v>
      </c>
      <c r="J22" s="298">
        <f t="shared" si="6"/>
        <v>6.3207547169811322</v>
      </c>
      <c r="K22" s="301" t="str">
        <f t="shared" si="7"/>
        <v>30/49</v>
      </c>
      <c r="L22" s="339" t="str">
        <f t="shared" si="8"/>
        <v>B</v>
      </c>
      <c r="M22" s="139" t="str">
        <f>IF(J22&gt;=DashBoard!$O$11,"Pass","Echoue")</f>
        <v>Echoue</v>
      </c>
    </row>
    <row r="23" spans="1:13" ht="15.75" thickBot="1" x14ac:dyDescent="0.3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1">
        <v>204</v>
      </c>
      <c r="G23" s="111">
        <v>67</v>
      </c>
      <c r="H23" s="111">
        <v>2</v>
      </c>
      <c r="I23" s="294">
        <f t="shared" si="5"/>
        <v>273</v>
      </c>
      <c r="J23" s="298">
        <f t="shared" si="6"/>
        <v>12.877358490566039</v>
      </c>
      <c r="K23" s="301" t="str">
        <f t="shared" si="7"/>
        <v>12/49</v>
      </c>
      <c r="L23" s="339" t="str">
        <f t="shared" si="8"/>
        <v>B</v>
      </c>
      <c r="M23" s="139" t="str">
        <f>IF(J23&gt;=DashBoard!$O$11,"Pass","Echoue")</f>
        <v>Echoue</v>
      </c>
    </row>
    <row r="24" spans="1:13" ht="15.75" thickBot="1" x14ac:dyDescent="0.3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1">
        <v>323</v>
      </c>
      <c r="G24" s="111">
        <v>64</v>
      </c>
      <c r="H24" s="111">
        <v>5</v>
      </c>
      <c r="I24" s="294">
        <f t="shared" si="5"/>
        <v>392</v>
      </c>
      <c r="J24" s="298">
        <f t="shared" si="6"/>
        <v>18.490566037735849</v>
      </c>
      <c r="K24" s="301" t="str">
        <f t="shared" si="7"/>
        <v>4/49</v>
      </c>
      <c r="L24" s="339" t="str">
        <f t="shared" si="8"/>
        <v>B</v>
      </c>
      <c r="M24" s="139" t="str">
        <f>IF(J24&gt;=DashBoard!$O$11,"Pass","Echoue")</f>
        <v>Echoue</v>
      </c>
    </row>
    <row r="25" spans="1:13" ht="15.75" thickBot="1" x14ac:dyDescent="0.3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1">
        <v>0</v>
      </c>
      <c r="G25" s="111">
        <v>0</v>
      </c>
      <c r="H25" s="111">
        <v>0</v>
      </c>
      <c r="I25" s="294">
        <f t="shared" si="5"/>
        <v>0</v>
      </c>
      <c r="J25" s="298">
        <f t="shared" si="6"/>
        <v>0</v>
      </c>
      <c r="K25" s="301" t="str">
        <f t="shared" si="7"/>
        <v>43/49</v>
      </c>
      <c r="L25" s="339" t="str">
        <f t="shared" si="8"/>
        <v>B</v>
      </c>
      <c r="M25" s="139" t="str">
        <f>IF(J25&gt;=DashBoard!$O$11,"Pass","Echoue")</f>
        <v>Echoue</v>
      </c>
    </row>
    <row r="26" spans="1:13" ht="15.75" thickBot="1" x14ac:dyDescent="0.3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1">
        <v>255</v>
      </c>
      <c r="G26" s="111">
        <v>79</v>
      </c>
      <c r="H26" s="111">
        <v>5</v>
      </c>
      <c r="I26" s="294">
        <f t="shared" si="5"/>
        <v>339</v>
      </c>
      <c r="J26" s="298">
        <f t="shared" si="6"/>
        <v>15.990566037735848</v>
      </c>
      <c r="K26" s="301" t="str">
        <f t="shared" si="7"/>
        <v>9/49</v>
      </c>
      <c r="L26" s="339" t="str">
        <f t="shared" si="8"/>
        <v>B</v>
      </c>
      <c r="M26" s="139" t="str">
        <f>IF(J26&gt;=DashBoard!$O$11,"Pass","Echoue")</f>
        <v>Echoue</v>
      </c>
    </row>
    <row r="27" spans="1:13" ht="15.75" thickBot="1" x14ac:dyDescent="0.3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1">
        <v>51</v>
      </c>
      <c r="G27" s="111">
        <v>75</v>
      </c>
      <c r="H27" s="111">
        <v>1</v>
      </c>
      <c r="I27" s="294">
        <f t="shared" si="5"/>
        <v>127</v>
      </c>
      <c r="J27" s="298">
        <f t="shared" si="6"/>
        <v>5.9905660377358494</v>
      </c>
      <c r="K27" s="301" t="str">
        <f t="shared" si="7"/>
        <v>31/49</v>
      </c>
      <c r="L27" s="339" t="str">
        <f t="shared" si="8"/>
        <v>B</v>
      </c>
      <c r="M27" s="139" t="str">
        <f>IF(J27&gt;=DashBoard!$O$11,"Pass","Echoue")</f>
        <v>Echoue</v>
      </c>
    </row>
    <row r="28" spans="1:13" ht="15.75" thickBot="1" x14ac:dyDescent="0.3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1">
        <v>0</v>
      </c>
      <c r="G28" s="111">
        <v>0</v>
      </c>
      <c r="H28" s="111">
        <v>0</v>
      </c>
      <c r="I28" s="294">
        <f t="shared" si="5"/>
        <v>0</v>
      </c>
      <c r="J28" s="298">
        <f t="shared" si="6"/>
        <v>0</v>
      </c>
      <c r="K28" s="301" t="str">
        <f t="shared" si="7"/>
        <v>43/49</v>
      </c>
      <c r="L28" s="339" t="str">
        <f t="shared" si="8"/>
        <v>B</v>
      </c>
      <c r="M28" s="139" t="str">
        <f>IF(J28&gt;=DashBoard!$O$11,"Pass","Echoue")</f>
        <v>Echoue</v>
      </c>
    </row>
    <row r="29" spans="1:13" ht="15.75" thickBot="1" x14ac:dyDescent="0.3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1">
        <v>102</v>
      </c>
      <c r="G29" s="111">
        <v>71</v>
      </c>
      <c r="H29" s="111">
        <v>5</v>
      </c>
      <c r="I29" s="294">
        <f t="shared" si="5"/>
        <v>178</v>
      </c>
      <c r="J29" s="298">
        <f t="shared" si="6"/>
        <v>8.3962264150943398</v>
      </c>
      <c r="K29" s="301" t="str">
        <f t="shared" si="7"/>
        <v>20/49</v>
      </c>
      <c r="L29" s="339" t="str">
        <f t="shared" si="8"/>
        <v>B</v>
      </c>
      <c r="M29" s="139" t="str">
        <f>IF(J29&gt;=DashBoard!$O$11,"Pass","Echoue")</f>
        <v>Echoue</v>
      </c>
    </row>
    <row r="30" spans="1:13" ht="15.75" thickBot="1" x14ac:dyDescent="0.3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1">
        <v>6402</v>
      </c>
      <c r="G30" s="111">
        <v>64</v>
      </c>
      <c r="H30" s="111">
        <v>5</v>
      </c>
      <c r="I30" s="294">
        <f t="shared" si="5"/>
        <v>6471</v>
      </c>
      <c r="J30" s="298">
        <f t="shared" si="6"/>
        <v>305.2358490566038</v>
      </c>
      <c r="K30" s="301" t="str">
        <f t="shared" si="7"/>
        <v>1/49</v>
      </c>
      <c r="L30" s="339" t="str">
        <f t="shared" si="8"/>
        <v>B</v>
      </c>
      <c r="M30" s="139" t="str">
        <f>IF(J30&gt;=DashBoard!$O$11,"Pass","Echoue")</f>
        <v>Pass</v>
      </c>
    </row>
    <row r="31" spans="1:13" ht="15.75" thickBot="1" x14ac:dyDescent="0.3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1">
        <v>34</v>
      </c>
      <c r="G31" s="111">
        <v>60</v>
      </c>
      <c r="H31" s="111">
        <v>1</v>
      </c>
      <c r="I31" s="294">
        <f t="shared" si="5"/>
        <v>95</v>
      </c>
      <c r="J31" s="298">
        <f t="shared" si="6"/>
        <v>4.4811320754716979</v>
      </c>
      <c r="K31" s="301" t="str">
        <f t="shared" si="7"/>
        <v>36/49</v>
      </c>
      <c r="L31" s="339" t="str">
        <f t="shared" si="8"/>
        <v>B</v>
      </c>
      <c r="M31" s="139" t="str">
        <f>IF(J31&gt;=DashBoard!$O$11,"Pass","Echoue")</f>
        <v>Echoue</v>
      </c>
    </row>
    <row r="32" spans="1:13" ht="15.75" thickBot="1" x14ac:dyDescent="0.3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1">
        <v>476</v>
      </c>
      <c r="G32" s="111">
        <v>59</v>
      </c>
      <c r="H32" s="111">
        <v>9</v>
      </c>
      <c r="I32" s="294">
        <f t="shared" si="5"/>
        <v>544</v>
      </c>
      <c r="J32" s="298">
        <f t="shared" si="6"/>
        <v>25.660377358490567</v>
      </c>
      <c r="K32" s="301" t="str">
        <f t="shared" si="7"/>
        <v>2/49</v>
      </c>
      <c r="L32" s="339" t="str">
        <f t="shared" si="8"/>
        <v>B</v>
      </c>
      <c r="M32" s="139" t="str">
        <f>IF(J32&gt;=DashBoard!$O$11,"Pass","Echoue")</f>
        <v>Echoue</v>
      </c>
    </row>
    <row r="33" spans="1:13" ht="15.75" thickBot="1" x14ac:dyDescent="0.3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1">
        <v>102</v>
      </c>
      <c r="G33" s="111">
        <v>50</v>
      </c>
      <c r="H33" s="111">
        <v>5</v>
      </c>
      <c r="I33" s="294">
        <f t="shared" si="5"/>
        <v>157</v>
      </c>
      <c r="J33" s="298">
        <f t="shared" si="6"/>
        <v>7.4056603773584904</v>
      </c>
      <c r="K33" s="301" t="str">
        <f t="shared" si="7"/>
        <v>28/49</v>
      </c>
      <c r="L33" s="339" t="str">
        <f t="shared" si="8"/>
        <v>B</v>
      </c>
      <c r="M33" s="139" t="str">
        <f>IF(J33&gt;=DashBoard!$O$11,"Pass","Echoue")</f>
        <v>Echoue</v>
      </c>
    </row>
    <row r="34" spans="1:13" ht="15.75" thickBot="1" x14ac:dyDescent="0.3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1">
        <v>0</v>
      </c>
      <c r="G34" s="111">
        <v>0</v>
      </c>
      <c r="H34" s="111">
        <v>0</v>
      </c>
      <c r="I34" s="294">
        <f t="shared" si="5"/>
        <v>0</v>
      </c>
      <c r="J34" s="298">
        <f t="shared" si="6"/>
        <v>0</v>
      </c>
      <c r="K34" s="301" t="str">
        <f t="shared" si="7"/>
        <v>43/49</v>
      </c>
      <c r="L34" s="339" t="str">
        <f t="shared" si="8"/>
        <v>B</v>
      </c>
      <c r="M34" s="139" t="str">
        <f>IF(J34&gt;=DashBoard!$O$11,"Pass","Echoue")</f>
        <v>Echoue</v>
      </c>
    </row>
    <row r="35" spans="1:13" ht="15.75" thickBot="1" x14ac:dyDescent="0.3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1">
        <v>34</v>
      </c>
      <c r="G35" s="111">
        <v>55</v>
      </c>
      <c r="H35" s="111">
        <v>1</v>
      </c>
      <c r="I35" s="294">
        <f t="shared" si="5"/>
        <v>90</v>
      </c>
      <c r="J35" s="298">
        <f t="shared" si="6"/>
        <v>4.2452830188679247</v>
      </c>
      <c r="K35" s="301" t="str">
        <f t="shared" si="7"/>
        <v>37/49</v>
      </c>
      <c r="L35" s="339" t="str">
        <f t="shared" si="8"/>
        <v>B</v>
      </c>
      <c r="M35" s="139" t="str">
        <f>IF(J35&gt;=DashBoard!$O$11,"Pass","Echoue")</f>
        <v>Echoue</v>
      </c>
    </row>
    <row r="36" spans="1:13" ht="15.75" thickBot="1" x14ac:dyDescent="0.3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1">
        <v>306</v>
      </c>
      <c r="G36" s="111">
        <v>62</v>
      </c>
      <c r="H36" s="111">
        <v>8</v>
      </c>
      <c r="I36" s="294">
        <f t="shared" si="5"/>
        <v>376</v>
      </c>
      <c r="J36" s="298">
        <f t="shared" si="6"/>
        <v>17.735849056603772</v>
      </c>
      <c r="K36" s="301" t="str">
        <f t="shared" si="7"/>
        <v>6/49</v>
      </c>
      <c r="L36" s="339" t="str">
        <f t="shared" si="8"/>
        <v>B</v>
      </c>
      <c r="M36" s="139" t="str">
        <f>IF(J36&gt;=DashBoard!$O$11,"Pass","Echoue")</f>
        <v>Echoue</v>
      </c>
    </row>
    <row r="37" spans="1:13" ht="15.75" thickBot="1" x14ac:dyDescent="0.3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1">
        <v>34</v>
      </c>
      <c r="G37" s="111">
        <v>54</v>
      </c>
      <c r="H37" s="111">
        <v>1</v>
      </c>
      <c r="I37" s="294">
        <f t="shared" si="5"/>
        <v>89</v>
      </c>
      <c r="J37" s="298">
        <f t="shared" si="6"/>
        <v>4.1981132075471699</v>
      </c>
      <c r="K37" s="301" t="str">
        <f t="shared" si="7"/>
        <v>38/49</v>
      </c>
      <c r="L37" s="339" t="str">
        <f t="shared" si="8"/>
        <v>B</v>
      </c>
      <c r="M37" s="139" t="str">
        <f>IF(J37&gt;=DashBoard!$O$11,"Pass","Echoue")</f>
        <v>Echoue</v>
      </c>
    </row>
    <row r="38" spans="1:13" ht="15.75" thickBot="1" x14ac:dyDescent="0.3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1">
        <v>102</v>
      </c>
      <c r="G38" s="111">
        <v>82</v>
      </c>
      <c r="H38" s="111">
        <v>5</v>
      </c>
      <c r="I38" s="294">
        <f t="shared" si="5"/>
        <v>189</v>
      </c>
      <c r="J38" s="298">
        <f t="shared" si="6"/>
        <v>8.915094339622641</v>
      </c>
      <c r="K38" s="301" t="str">
        <f t="shared" si="7"/>
        <v>17/49</v>
      </c>
      <c r="L38" s="339" t="str">
        <f t="shared" si="8"/>
        <v>B</v>
      </c>
      <c r="M38" s="139" t="str">
        <f>IF(J38&gt;=DashBoard!$O$11,"Pass","Echoue")</f>
        <v>Echoue</v>
      </c>
    </row>
    <row r="39" spans="1:13" ht="15.75" thickBot="1" x14ac:dyDescent="0.3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1">
        <v>102</v>
      </c>
      <c r="G39" s="111">
        <v>59</v>
      </c>
      <c r="H39" s="111">
        <v>5</v>
      </c>
      <c r="I39" s="294">
        <f t="shared" si="5"/>
        <v>166</v>
      </c>
      <c r="J39" s="298">
        <f t="shared" si="6"/>
        <v>7.8301886792452828</v>
      </c>
      <c r="K39" s="301" t="str">
        <f t="shared" si="7"/>
        <v>24/49</v>
      </c>
      <c r="L39" s="339" t="str">
        <f t="shared" si="8"/>
        <v>B</v>
      </c>
      <c r="M39" s="139" t="str">
        <f>IF(J39&gt;=DashBoard!$O$11,"Pass","Echoue")</f>
        <v>Echoue</v>
      </c>
    </row>
    <row r="40" spans="1:13" ht="15.75" thickBot="1" x14ac:dyDescent="0.3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1">
        <v>323</v>
      </c>
      <c r="G40" s="111">
        <v>47</v>
      </c>
      <c r="H40" s="111">
        <v>5</v>
      </c>
      <c r="I40" s="294">
        <f t="shared" si="5"/>
        <v>375</v>
      </c>
      <c r="J40" s="298">
        <f t="shared" si="6"/>
        <v>17.688679245283019</v>
      </c>
      <c r="K40" s="301" t="str">
        <f t="shared" si="7"/>
        <v>7/49</v>
      </c>
      <c r="L40" s="339" t="str">
        <f t="shared" si="8"/>
        <v>B</v>
      </c>
      <c r="M40" s="139" t="str">
        <f>IF(J40&gt;=DashBoard!$O$11,"Pass","Echoue")</f>
        <v>Echoue</v>
      </c>
    </row>
    <row r="41" spans="1:13" ht="15.75" thickBot="1" x14ac:dyDescent="0.3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1">
        <v>34</v>
      </c>
      <c r="G41" s="111">
        <v>48</v>
      </c>
      <c r="H41" s="111">
        <v>1</v>
      </c>
      <c r="I41" s="294">
        <f t="shared" si="5"/>
        <v>83</v>
      </c>
      <c r="J41" s="298">
        <f t="shared" si="6"/>
        <v>3.9150943396226414</v>
      </c>
      <c r="K41" s="301" t="str">
        <f t="shared" si="7"/>
        <v>40/49</v>
      </c>
      <c r="L41" s="339" t="str">
        <f t="shared" si="8"/>
        <v>B</v>
      </c>
      <c r="M41" s="139" t="str">
        <f>IF(J41&gt;=DashBoard!$O$11,"Pass","Echoue")</f>
        <v>Echoue</v>
      </c>
    </row>
    <row r="42" spans="1:13" ht="15.75" thickBot="1" x14ac:dyDescent="0.3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1">
        <v>255</v>
      </c>
      <c r="G42" s="111">
        <v>64</v>
      </c>
      <c r="H42" s="111">
        <v>5</v>
      </c>
      <c r="I42" s="294">
        <f t="shared" si="5"/>
        <v>324</v>
      </c>
      <c r="J42" s="298">
        <f t="shared" si="6"/>
        <v>15.283018867924527</v>
      </c>
      <c r="K42" s="301" t="str">
        <f t="shared" si="7"/>
        <v>10/49</v>
      </c>
      <c r="L42" s="339" t="str">
        <f t="shared" si="8"/>
        <v>B</v>
      </c>
      <c r="M42" s="139" t="str">
        <f>IF(J42&gt;=DashBoard!$O$11,"Pass","Echoue")</f>
        <v>Echoue</v>
      </c>
    </row>
    <row r="43" spans="1:13" ht="15.75" thickBot="1" x14ac:dyDescent="0.3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1">
        <v>34</v>
      </c>
      <c r="G43" s="111">
        <v>64</v>
      </c>
      <c r="H43" s="111">
        <v>1</v>
      </c>
      <c r="I43" s="294">
        <f t="shared" si="5"/>
        <v>99</v>
      </c>
      <c r="J43" s="298">
        <f t="shared" si="6"/>
        <v>4.6698113207547163</v>
      </c>
      <c r="K43" s="301" t="str">
        <f t="shared" si="7"/>
        <v>34/49</v>
      </c>
      <c r="L43" s="339" t="str">
        <f t="shared" si="8"/>
        <v>B</v>
      </c>
      <c r="M43" s="139" t="str">
        <f>IF(J43&gt;=DashBoard!$O$11,"Pass","Echoue")</f>
        <v>Echoue</v>
      </c>
    </row>
    <row r="44" spans="1:13" ht="15.75" thickBot="1" x14ac:dyDescent="0.3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1">
        <v>102</v>
      </c>
      <c r="G44" s="111">
        <v>52</v>
      </c>
      <c r="H44" s="111">
        <v>5</v>
      </c>
      <c r="I44" s="294">
        <f t="shared" si="5"/>
        <v>159</v>
      </c>
      <c r="J44" s="298">
        <f t="shared" si="6"/>
        <v>7.5</v>
      </c>
      <c r="K44" s="301" t="str">
        <f t="shared" si="7"/>
        <v>27/49</v>
      </c>
      <c r="L44" s="339" t="str">
        <f t="shared" si="8"/>
        <v>B</v>
      </c>
      <c r="M44" s="139" t="str">
        <f>IF(J44&gt;=DashBoard!$O$11,"Pass","Echoue")</f>
        <v>Echoue</v>
      </c>
    </row>
    <row r="45" spans="1:13" ht="15.75" thickBot="1" x14ac:dyDescent="0.3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1">
        <v>187</v>
      </c>
      <c r="G45" s="111">
        <v>66</v>
      </c>
      <c r="H45" s="111">
        <v>5</v>
      </c>
      <c r="I45" s="294">
        <f t="shared" si="5"/>
        <v>258</v>
      </c>
      <c r="J45" s="298">
        <f t="shared" si="6"/>
        <v>12.169811320754716</v>
      </c>
      <c r="K45" s="301" t="str">
        <f t="shared" si="7"/>
        <v>15/49</v>
      </c>
      <c r="L45" s="339" t="str">
        <f t="shared" si="8"/>
        <v>B</v>
      </c>
      <c r="M45" s="139" t="str">
        <f>IF(J45&gt;=DashBoard!$O$11,"Pass","Echoue")</f>
        <v>Echoue</v>
      </c>
    </row>
    <row r="46" spans="1:13" ht="15.75" thickBot="1" x14ac:dyDescent="0.3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1">
        <v>187</v>
      </c>
      <c r="G46" s="111">
        <v>65</v>
      </c>
      <c r="H46" s="111">
        <v>5</v>
      </c>
      <c r="I46" s="294">
        <f t="shared" si="5"/>
        <v>257</v>
      </c>
      <c r="J46" s="298">
        <f t="shared" si="6"/>
        <v>12.122641509433961</v>
      </c>
      <c r="K46" s="301" t="str">
        <f t="shared" si="7"/>
        <v>16/49</v>
      </c>
      <c r="L46" s="339" t="str">
        <f t="shared" si="8"/>
        <v>B</v>
      </c>
      <c r="M46" s="139" t="str">
        <f>IF(J46&gt;=DashBoard!$O$11,"Pass","Echoue")</f>
        <v>Echoue</v>
      </c>
    </row>
    <row r="47" spans="1:13" ht="15.75" thickBot="1" x14ac:dyDescent="0.3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1">
        <v>34</v>
      </c>
      <c r="G47" s="111">
        <v>49</v>
      </c>
      <c r="H47" s="111">
        <v>1</v>
      </c>
      <c r="I47" s="294">
        <f t="shared" si="5"/>
        <v>84</v>
      </c>
      <c r="J47" s="298">
        <f t="shared" si="6"/>
        <v>3.9622641509433962</v>
      </c>
      <c r="K47" s="301" t="str">
        <f t="shared" si="7"/>
        <v>39/49</v>
      </c>
      <c r="L47" s="339" t="str">
        <f t="shared" si="8"/>
        <v>B</v>
      </c>
      <c r="M47" s="139" t="str">
        <f>IF(J47&gt;=DashBoard!$O$11,"Pass","Echoue")</f>
        <v>Echoue</v>
      </c>
    </row>
    <row r="48" spans="1:13" ht="15.75" thickBot="1" x14ac:dyDescent="0.3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1">
        <v>34</v>
      </c>
      <c r="G48" s="111">
        <v>61</v>
      </c>
      <c r="H48" s="111">
        <v>1</v>
      </c>
      <c r="I48" s="294">
        <f t="shared" si="5"/>
        <v>96</v>
      </c>
      <c r="J48" s="298">
        <f t="shared" si="6"/>
        <v>4.5283018867924527</v>
      </c>
      <c r="K48" s="301" t="str">
        <f t="shared" si="7"/>
        <v>35/49</v>
      </c>
      <c r="L48" s="339" t="str">
        <f t="shared" si="8"/>
        <v>B</v>
      </c>
      <c r="M48" s="139" t="str">
        <f>IF(J48&gt;=DashBoard!$O$11,"Pass","Echoue")</f>
        <v>Echoue</v>
      </c>
    </row>
    <row r="49" spans="1:13" ht="15.75" thickBot="1" x14ac:dyDescent="0.3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1">
        <v>102</v>
      </c>
      <c r="G49" s="111">
        <v>74</v>
      </c>
      <c r="H49" s="111">
        <v>5</v>
      </c>
      <c r="I49" s="294">
        <f t="shared" si="5"/>
        <v>181</v>
      </c>
      <c r="J49" s="298">
        <f t="shared" si="6"/>
        <v>8.5377358490566024</v>
      </c>
      <c r="K49" s="301" t="str">
        <f t="shared" si="7"/>
        <v>19/49</v>
      </c>
      <c r="L49" s="339" t="str">
        <f t="shared" si="8"/>
        <v>B</v>
      </c>
      <c r="M49" s="139" t="str">
        <f>IF(J49&gt;=DashBoard!$O$11,"Pass","Echoue")</f>
        <v>Echoue</v>
      </c>
    </row>
    <row r="50" spans="1:13" ht="15.75" thickBot="1" x14ac:dyDescent="0.3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1">
        <v>340</v>
      </c>
      <c r="G50" s="111">
        <v>64</v>
      </c>
      <c r="H50" s="111">
        <v>5</v>
      </c>
      <c r="I50" s="294">
        <f t="shared" si="5"/>
        <v>409</v>
      </c>
      <c r="J50" s="298">
        <f t="shared" si="6"/>
        <v>19.29245283018868</v>
      </c>
      <c r="K50" s="301" t="str">
        <f t="shared" si="7"/>
        <v>3/49</v>
      </c>
      <c r="L50" s="339" t="str">
        <f t="shared" si="8"/>
        <v>B</v>
      </c>
      <c r="M50" s="139" t="str">
        <f>IF(J50&gt;=DashBoard!$O$11,"Pass","Echoue")</f>
        <v>Echoue</v>
      </c>
    </row>
    <row r="51" spans="1:13" ht="15.75" thickBot="1" x14ac:dyDescent="0.3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1">
        <v>102</v>
      </c>
      <c r="G51" s="111">
        <v>56</v>
      </c>
      <c r="H51" s="111">
        <v>5</v>
      </c>
      <c r="I51" s="294">
        <f t="shared" si="5"/>
        <v>163</v>
      </c>
      <c r="J51" s="298">
        <f t="shared" si="6"/>
        <v>7.6886792452830184</v>
      </c>
      <c r="K51" s="301" t="str">
        <f t="shared" si="7"/>
        <v>26/49</v>
      </c>
      <c r="L51" s="339" t="str">
        <f t="shared" si="8"/>
        <v>B</v>
      </c>
      <c r="M51" s="139" t="str">
        <f>IF(J51&gt;=DashBoard!$O$11,"Pass","Echoue")</f>
        <v>Echoue</v>
      </c>
    </row>
    <row r="52" spans="1:13" ht="15.75" thickBot="1" x14ac:dyDescent="0.3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1">
        <v>102</v>
      </c>
      <c r="G52" s="111">
        <v>58</v>
      </c>
      <c r="H52" s="111">
        <v>5</v>
      </c>
      <c r="I52" s="294">
        <f t="shared" si="5"/>
        <v>165</v>
      </c>
      <c r="J52" s="298">
        <f t="shared" si="6"/>
        <v>7.783018867924528</v>
      </c>
      <c r="K52" s="301" t="str">
        <f t="shared" si="7"/>
        <v>25/49</v>
      </c>
      <c r="L52" s="339" t="str">
        <f t="shared" si="8"/>
        <v>B</v>
      </c>
      <c r="M52" s="139" t="str">
        <f>IF(J52&gt;=DashBoard!$O$11,"Pass","Echoue")</f>
        <v>Echoue</v>
      </c>
    </row>
    <row r="53" spans="1:13" ht="15.75" thickBot="1" x14ac:dyDescent="0.3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1">
        <v>255</v>
      </c>
      <c r="G53" s="111">
        <v>50</v>
      </c>
      <c r="H53" s="111">
        <v>5</v>
      </c>
      <c r="I53" s="294">
        <f t="shared" si="5"/>
        <v>310</v>
      </c>
      <c r="J53" s="298">
        <f t="shared" si="6"/>
        <v>14.622641509433961</v>
      </c>
      <c r="K53" s="301" t="str">
        <f t="shared" si="7"/>
        <v>11/49</v>
      </c>
      <c r="L53" s="339" t="str">
        <f t="shared" si="8"/>
        <v>B</v>
      </c>
      <c r="M53" s="139" t="str">
        <f>IF(J53&gt;=DashBoard!$O$11,"Pass","Echoue")</f>
        <v>Echoue</v>
      </c>
    </row>
    <row r="54" spans="1:13" ht="15.75" thickBot="1" x14ac:dyDescent="0.3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1">
        <v>102</v>
      </c>
      <c r="G54" s="111">
        <v>77</v>
      </c>
      <c r="H54" s="111">
        <v>5</v>
      </c>
      <c r="I54" s="294">
        <f t="shared" si="5"/>
        <v>184</v>
      </c>
      <c r="J54" s="298">
        <f t="shared" si="6"/>
        <v>8.6792452830188669</v>
      </c>
      <c r="K54" s="301" t="str">
        <f t="shared" si="7"/>
        <v>18/49</v>
      </c>
      <c r="L54" s="339" t="str">
        <f t="shared" si="8"/>
        <v>B</v>
      </c>
      <c r="M54" s="139" t="str">
        <f>IF(J54&gt;=DashBoard!$O$11,"Pass","Echoue")</f>
        <v>Echoue</v>
      </c>
    </row>
    <row r="55" spans="1:13" ht="15.75" thickBot="1" x14ac:dyDescent="0.3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1">
        <v>102</v>
      </c>
      <c r="G55" s="111">
        <v>61</v>
      </c>
      <c r="H55" s="111">
        <v>5</v>
      </c>
      <c r="I55" s="294">
        <f t="shared" si="5"/>
        <v>168</v>
      </c>
      <c r="J55" s="298">
        <f t="shared" si="6"/>
        <v>7.9245283018867925</v>
      </c>
      <c r="K55" s="301" t="str">
        <f t="shared" si="7"/>
        <v>23/49</v>
      </c>
      <c r="L55" s="339" t="str">
        <f t="shared" si="8"/>
        <v>B</v>
      </c>
      <c r="M55" s="139" t="str">
        <f>IF(J55&gt;=DashBoard!$O$11,"Pass","Echoue")</f>
        <v>Echoue</v>
      </c>
    </row>
    <row r="56" spans="1:13" ht="15.75" thickBot="1" x14ac:dyDescent="0.3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1">
        <v>102</v>
      </c>
      <c r="G56" s="111">
        <v>68</v>
      </c>
      <c r="H56" s="111">
        <v>5</v>
      </c>
      <c r="I56" s="294">
        <f t="shared" si="5"/>
        <v>175</v>
      </c>
      <c r="J56" s="298">
        <f t="shared" si="6"/>
        <v>8.2547169811320753</v>
      </c>
      <c r="K56" s="301" t="str">
        <f t="shared" si="7"/>
        <v>22/49</v>
      </c>
      <c r="L56" s="339" t="str">
        <f t="shared" si="8"/>
        <v>B</v>
      </c>
      <c r="M56" s="139" t="str">
        <f>IF(J56&gt;=DashBoard!$O$11,"Pass","Echoue")</f>
        <v>Echoue</v>
      </c>
    </row>
    <row r="57" spans="1:13" ht="15.75" thickBot="1" x14ac:dyDescent="0.3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1">
        <v>204</v>
      </c>
      <c r="G57" s="111">
        <v>54</v>
      </c>
      <c r="H57" s="111">
        <v>2</v>
      </c>
      <c r="I57" s="294">
        <f t="shared" si="5"/>
        <v>260</v>
      </c>
      <c r="J57" s="298">
        <f t="shared" si="6"/>
        <v>12.264150943396226</v>
      </c>
      <c r="K57" s="301" t="str">
        <f t="shared" si="7"/>
        <v>14/49</v>
      </c>
      <c r="L57" s="339" t="str">
        <f t="shared" si="8"/>
        <v>B</v>
      </c>
      <c r="M57" s="139" t="str">
        <f>IF(J57&gt;=DashBoard!$O$11,"Pass","Echoue")</f>
        <v>Echoue</v>
      </c>
    </row>
    <row r="58" spans="1:13" ht="15.75" thickBot="1" x14ac:dyDescent="0.3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1">
        <v>51</v>
      </c>
      <c r="G58" s="111">
        <v>63</v>
      </c>
      <c r="H58" s="111">
        <v>2</v>
      </c>
      <c r="I58" s="294">
        <f t="shared" si="5"/>
        <v>116</v>
      </c>
      <c r="J58" s="298">
        <f t="shared" si="6"/>
        <v>5.4716981132075473</v>
      </c>
      <c r="K58" s="301" t="str">
        <f t="shared" si="7"/>
        <v>32/49</v>
      </c>
      <c r="L58" s="339" t="str">
        <f t="shared" si="8"/>
        <v>B</v>
      </c>
      <c r="M58" s="139" t="str">
        <f>IF(J58&gt;=DashBoard!$O$11,"Pass","Echoue")</f>
        <v>Echoue</v>
      </c>
    </row>
    <row r="59" spans="1:13" ht="15.75" thickBot="1" x14ac:dyDescent="0.3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1">
        <v>323</v>
      </c>
      <c r="G59" s="111">
        <v>49</v>
      </c>
      <c r="H59" s="111">
        <v>5</v>
      </c>
      <c r="I59" s="294">
        <f t="shared" si="5"/>
        <v>377</v>
      </c>
      <c r="J59" s="298">
        <f t="shared" si="6"/>
        <v>17.783018867924525</v>
      </c>
      <c r="K59" s="301" t="str">
        <f t="shared" si="7"/>
        <v>5/49</v>
      </c>
      <c r="L59" s="339" t="str">
        <f t="shared" si="8"/>
        <v>B</v>
      </c>
      <c r="M59" s="139" t="str">
        <f>IF(J59&gt;=DashBoard!$O$11,"Pass","Echoue")</f>
        <v>Echoue</v>
      </c>
    </row>
    <row r="60" spans="1:13" ht="15.75" thickBot="1" x14ac:dyDescent="0.3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1">
        <v>34</v>
      </c>
      <c r="G60" s="111">
        <v>40</v>
      </c>
      <c r="H60" s="111">
        <v>1</v>
      </c>
      <c r="I60" s="294">
        <f t="shared" si="5"/>
        <v>75</v>
      </c>
      <c r="J60" s="298">
        <f t="shared" si="6"/>
        <v>3.5377358490566038</v>
      </c>
      <c r="K60" s="301" t="str">
        <f t="shared" si="7"/>
        <v>42/49</v>
      </c>
      <c r="L60" s="339" t="str">
        <f t="shared" si="8"/>
        <v>B</v>
      </c>
      <c r="M60" s="139" t="str">
        <f>IF(J60&gt;=DashBoard!$O$11,"Pass","Echoue")</f>
        <v>Echoue</v>
      </c>
    </row>
    <row r="61" spans="1:13" ht="15.75" thickBot="1" x14ac:dyDescent="0.3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1">
        <v>34</v>
      </c>
      <c r="G61" s="111">
        <v>46</v>
      </c>
      <c r="H61" s="111">
        <v>1</v>
      </c>
      <c r="I61" s="294">
        <f t="shared" si="5"/>
        <v>81</v>
      </c>
      <c r="J61" s="298">
        <f t="shared" si="6"/>
        <v>3.8207547169811318</v>
      </c>
      <c r="K61" s="301" t="str">
        <f t="shared" si="7"/>
        <v>41/49</v>
      </c>
      <c r="L61" s="339" t="str">
        <f t="shared" si="8"/>
        <v>B</v>
      </c>
      <c r="M61" s="139" t="str">
        <f>IF(J61&gt;=DashBoard!$O$11,"Pass","Echoue")</f>
        <v>Echoue</v>
      </c>
    </row>
    <row r="62" spans="1:13" ht="15.75" thickBot="1" x14ac:dyDescent="0.3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1">
        <v>51</v>
      </c>
      <c r="G62" s="111">
        <v>61</v>
      </c>
      <c r="H62" s="111">
        <v>2</v>
      </c>
      <c r="I62" s="294">
        <f t="shared" si="5"/>
        <v>114</v>
      </c>
      <c r="J62" s="298">
        <f t="shared" si="6"/>
        <v>5.3773584905660377</v>
      </c>
      <c r="K62" s="301" t="str">
        <f t="shared" si="7"/>
        <v>33/49</v>
      </c>
      <c r="L62" s="339" t="str">
        <f t="shared" si="8"/>
        <v>B</v>
      </c>
      <c r="M62" s="139" t="str">
        <f>IF(J62&gt;=DashBoard!$O$11,"Pass","Echoue")</f>
        <v>Echoue</v>
      </c>
    </row>
    <row r="63" spans="1:13" ht="15.75" thickBot="1" x14ac:dyDescent="0.3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1">
        <v>102</v>
      </c>
      <c r="G63" s="111">
        <v>71</v>
      </c>
      <c r="H63" s="111">
        <v>5</v>
      </c>
      <c r="I63" s="294">
        <f t="shared" si="5"/>
        <v>178</v>
      </c>
      <c r="J63" s="298">
        <f t="shared" si="6"/>
        <v>8.3962264150943398</v>
      </c>
      <c r="K63" s="301" t="str">
        <f t="shared" si="7"/>
        <v>20/49</v>
      </c>
      <c r="L63" s="339" t="str">
        <f t="shared" si="8"/>
        <v>B</v>
      </c>
      <c r="M63" s="139" t="str">
        <f>IF(J63&gt;=DashBoard!$O$11,"Pass","Echoue")</f>
        <v>Echoue</v>
      </c>
    </row>
    <row r="64" spans="1:13" ht="15.75" thickBot="1" x14ac:dyDescent="0.3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1">
        <v>289</v>
      </c>
      <c r="G64" s="111">
        <v>57</v>
      </c>
      <c r="H64" s="111">
        <v>7</v>
      </c>
      <c r="I64" s="294">
        <f t="shared" si="5"/>
        <v>353</v>
      </c>
      <c r="J64" s="298">
        <f t="shared" si="6"/>
        <v>16.650943396226413</v>
      </c>
      <c r="K64" s="301" t="str">
        <f t="shared" si="7"/>
        <v>8/49</v>
      </c>
      <c r="L64" s="339" t="str">
        <f t="shared" si="8"/>
        <v>B</v>
      </c>
      <c r="M64" s="139" t="str">
        <f>IF(J64&gt;=DashBoard!$O$11,"Pass","Echoue")</f>
        <v>Echoue</v>
      </c>
    </row>
    <row r="65" spans="1:13" ht="15.75" thickBot="1" x14ac:dyDescent="0.3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1">
        <v>102</v>
      </c>
      <c r="G65" s="111">
        <v>52.6</v>
      </c>
      <c r="H65" s="111">
        <v>0</v>
      </c>
      <c r="I65" s="294">
        <f t="shared" si="5"/>
        <v>154.6</v>
      </c>
      <c r="J65" s="298">
        <f t="shared" si="6"/>
        <v>7.2924528301886795</v>
      </c>
      <c r="K65" s="301" t="str">
        <f t="shared" si="7"/>
        <v>29/49</v>
      </c>
      <c r="L65" s="339" t="str">
        <f t="shared" si="8"/>
        <v>B</v>
      </c>
      <c r="M65" s="139" t="str">
        <f>IF(J65&gt;=DashBoard!$O$11,"Pass","Echoue")</f>
        <v>Echoue</v>
      </c>
    </row>
    <row r="66" spans="1:13" ht="15.75" thickBot="1" x14ac:dyDescent="0.3">
      <c r="A66" s="153"/>
      <c r="B66" s="8"/>
      <c r="C66" s="8"/>
      <c r="D66" s="23"/>
      <c r="E66" s="51"/>
      <c r="F66" s="111"/>
      <c r="G66" s="111"/>
      <c r="H66" s="111"/>
      <c r="I66" s="294">
        <f t="shared" si="5"/>
        <v>0</v>
      </c>
      <c r="J66" s="298">
        <f t="shared" si="6"/>
        <v>0</v>
      </c>
      <c r="K66" s="301" t="str">
        <f t="shared" si="7"/>
        <v>43/49</v>
      </c>
      <c r="L66" s="339" t="str">
        <f t="shared" si="8"/>
        <v>B</v>
      </c>
      <c r="M66" s="139" t="str">
        <f>IF(J66&gt;=DashBoard!$O$11,"Pass","Echoue")</f>
        <v>Echoue</v>
      </c>
    </row>
    <row r="67" spans="1:13" ht="15.75" thickBot="1" x14ac:dyDescent="0.3">
      <c r="A67" s="153"/>
      <c r="B67" s="8"/>
      <c r="C67" s="8"/>
      <c r="D67" s="23"/>
      <c r="E67" s="51"/>
      <c r="F67" s="111"/>
      <c r="G67" s="111"/>
      <c r="H67" s="111"/>
      <c r="I67" s="294">
        <f t="shared" si="5"/>
        <v>0</v>
      </c>
      <c r="J67" s="298">
        <f t="shared" si="6"/>
        <v>0</v>
      </c>
      <c r="K67" s="301" t="str">
        <f t="shared" si="7"/>
        <v>43/49</v>
      </c>
      <c r="L67" s="339" t="str">
        <f t="shared" si="8"/>
        <v>B</v>
      </c>
      <c r="M67" s="139" t="str">
        <f>IF(J67&gt;=DashBoard!$O$11,"Pass","Echoue")</f>
        <v>Echoue</v>
      </c>
    </row>
    <row r="68" spans="1:13" ht="15.75" thickBot="1" x14ac:dyDescent="0.3">
      <c r="A68" s="153"/>
      <c r="B68" s="8"/>
      <c r="C68" s="8"/>
      <c r="D68" s="23"/>
      <c r="E68" s="51"/>
      <c r="F68" s="111"/>
      <c r="G68" s="111"/>
      <c r="H68" s="111"/>
      <c r="I68" s="294">
        <f t="shared" si="5"/>
        <v>0</v>
      </c>
      <c r="J68" s="298">
        <f t="shared" si="6"/>
        <v>0</v>
      </c>
      <c r="K68" s="301" t="str">
        <f t="shared" si="7"/>
        <v>43/49</v>
      </c>
      <c r="L68" s="339" t="str">
        <f t="shared" si="8"/>
        <v>B</v>
      </c>
      <c r="M68" s="139" t="str">
        <f>IF(J68&gt;=DashBoard!$O$11,"Pass","Echoue")</f>
        <v>Echoue</v>
      </c>
    </row>
    <row r="69" spans="1:13" ht="15.75" thickBot="1" x14ac:dyDescent="0.3">
      <c r="A69" s="153"/>
      <c r="B69" s="8"/>
      <c r="C69" s="8"/>
      <c r="D69" s="23"/>
      <c r="E69" s="51"/>
      <c r="F69" s="111"/>
      <c r="G69" s="111"/>
      <c r="H69" s="111"/>
      <c r="I69" s="294">
        <f t="shared" si="5"/>
        <v>0</v>
      </c>
      <c r="J69" s="298">
        <f t="shared" si="6"/>
        <v>0</v>
      </c>
      <c r="K69" s="301" t="str">
        <f t="shared" si="7"/>
        <v>43/49</v>
      </c>
      <c r="L69" s="339" t="str">
        <f t="shared" si="8"/>
        <v>B</v>
      </c>
      <c r="M69" s="139" t="str">
        <f>IF(J69&gt;=DashBoard!$O$11,"Pass","Echoue")</f>
        <v>Echoue</v>
      </c>
    </row>
    <row r="70" spans="1:13" ht="15.75" thickBot="1" x14ac:dyDescent="0.3">
      <c r="A70" s="153"/>
      <c r="B70" s="8"/>
      <c r="C70" s="8"/>
      <c r="D70" s="23"/>
      <c r="E70" s="51"/>
      <c r="F70" s="111"/>
      <c r="G70" s="111"/>
      <c r="H70" s="111"/>
      <c r="I70" s="294">
        <f t="shared" si="5"/>
        <v>0</v>
      </c>
      <c r="J70" s="298">
        <f t="shared" si="6"/>
        <v>0</v>
      </c>
      <c r="K70" s="301" t="str">
        <f t="shared" si="7"/>
        <v>43/49</v>
      </c>
      <c r="L70" s="339" t="str">
        <f t="shared" si="8"/>
        <v>B</v>
      </c>
      <c r="M70" s="139" t="str">
        <f>IF(J70&gt;=DashBoard!$O$11,"Pass","Echoue")</f>
        <v>Echoue</v>
      </c>
    </row>
    <row r="71" spans="1:13" ht="15.75" thickBot="1" x14ac:dyDescent="0.3">
      <c r="A71" s="153"/>
      <c r="B71" s="8"/>
      <c r="C71" s="8"/>
      <c r="D71" s="23"/>
      <c r="E71" s="51"/>
      <c r="F71" s="111"/>
      <c r="G71" s="111"/>
      <c r="H71" s="111"/>
      <c r="I71" s="294">
        <f t="shared" si="5"/>
        <v>0</v>
      </c>
      <c r="J71" s="298">
        <f t="shared" si="6"/>
        <v>0</v>
      </c>
      <c r="K71" s="301" t="str">
        <f t="shared" si="7"/>
        <v>43/49</v>
      </c>
      <c r="L71" s="339" t="str">
        <f t="shared" si="8"/>
        <v>B</v>
      </c>
      <c r="M71" s="139" t="str">
        <f>IF(J71&gt;=DashBoard!$O$11,"Pass","Echoue")</f>
        <v>Echoue</v>
      </c>
    </row>
    <row r="72" spans="1:13" ht="15.75" thickBot="1" x14ac:dyDescent="0.3">
      <c r="A72" s="153"/>
      <c r="B72" s="8"/>
      <c r="C72" s="8"/>
      <c r="D72" s="23"/>
      <c r="E72" s="51"/>
      <c r="F72" s="111"/>
      <c r="G72" s="111"/>
      <c r="H72" s="111"/>
      <c r="I72" s="294">
        <f t="shared" si="5"/>
        <v>0</v>
      </c>
      <c r="J72" s="298">
        <f t="shared" si="6"/>
        <v>0</v>
      </c>
      <c r="K72" s="301" t="str">
        <f t="shared" si="7"/>
        <v>43/49</v>
      </c>
      <c r="L72" s="339" t="str">
        <f t="shared" si="8"/>
        <v>B</v>
      </c>
      <c r="M72" s="139" t="str">
        <f>IF(J72&gt;=DashBoard!$O$11,"Pass","Echoue")</f>
        <v>Echoue</v>
      </c>
    </row>
    <row r="73" spans="1:13" ht="15.75" thickBot="1" x14ac:dyDescent="0.3">
      <c r="A73" s="153"/>
      <c r="B73" s="8"/>
      <c r="C73" s="8"/>
      <c r="D73" s="23"/>
      <c r="E73" s="51"/>
      <c r="F73" s="111"/>
      <c r="G73" s="111"/>
      <c r="H73" s="111"/>
      <c r="I73" s="294">
        <f t="shared" si="5"/>
        <v>0</v>
      </c>
      <c r="J73" s="298">
        <f t="shared" si="6"/>
        <v>0</v>
      </c>
      <c r="K73" s="301" t="str">
        <f t="shared" si="7"/>
        <v>43/49</v>
      </c>
      <c r="L73" s="339" t="str">
        <f t="shared" si="8"/>
        <v>B</v>
      </c>
      <c r="M73" s="139" t="str">
        <f>IF(J73&gt;=DashBoard!$O$11,"Pass","Echoue")</f>
        <v>Echoue</v>
      </c>
    </row>
    <row r="74" spans="1:13" ht="15.75" thickBot="1" x14ac:dyDescent="0.3">
      <c r="A74" s="153"/>
      <c r="B74" s="8"/>
      <c r="C74" s="8"/>
      <c r="D74" s="23"/>
      <c r="E74" s="51"/>
      <c r="F74" s="111"/>
      <c r="G74" s="111"/>
      <c r="H74" s="111"/>
      <c r="I74" s="294">
        <f t="shared" si="5"/>
        <v>0</v>
      </c>
      <c r="J74" s="298">
        <f t="shared" si="6"/>
        <v>0</v>
      </c>
      <c r="K74" s="301" t="str">
        <f t="shared" si="7"/>
        <v>43/49</v>
      </c>
      <c r="L74" s="339" t="str">
        <f t="shared" si="8"/>
        <v>B</v>
      </c>
      <c r="M74" s="139" t="str">
        <f>IF(J74&gt;=DashBoard!$O$11,"Pass","Echoue")</f>
        <v>Echoue</v>
      </c>
    </row>
    <row r="75" spans="1:13" ht="15.75" thickBot="1" x14ac:dyDescent="0.3">
      <c r="A75" s="153"/>
      <c r="B75" s="8"/>
      <c r="C75" s="8"/>
      <c r="D75" s="23"/>
      <c r="E75" s="51"/>
      <c r="F75" s="111"/>
      <c r="G75" s="111"/>
      <c r="H75" s="111"/>
      <c r="I75" s="294">
        <f t="shared" si="5"/>
        <v>0</v>
      </c>
      <c r="J75" s="298">
        <f t="shared" si="6"/>
        <v>0</v>
      </c>
      <c r="K75" s="301" t="str">
        <f t="shared" si="7"/>
        <v>43/49</v>
      </c>
      <c r="L75" s="339" t="str">
        <f t="shared" si="8"/>
        <v>B</v>
      </c>
      <c r="M75" s="139" t="str">
        <f>IF(J75&gt;=DashBoard!$O$11,"Pass","Echoue")</f>
        <v>Echoue</v>
      </c>
    </row>
    <row r="76" spans="1:13" ht="15.75" thickBot="1" x14ac:dyDescent="0.3">
      <c r="A76" s="153"/>
      <c r="B76" s="8"/>
      <c r="C76" s="8"/>
      <c r="D76" s="23"/>
      <c r="E76" s="51"/>
      <c r="F76" s="111"/>
      <c r="G76" s="111"/>
      <c r="H76" s="111"/>
      <c r="I76" s="294">
        <f t="shared" si="5"/>
        <v>0</v>
      </c>
      <c r="J76" s="298">
        <f t="shared" si="6"/>
        <v>0</v>
      </c>
      <c r="K76" s="301" t="str">
        <f t="shared" si="7"/>
        <v>43/49</v>
      </c>
      <c r="L76" s="339" t="str">
        <f t="shared" si="8"/>
        <v>B</v>
      </c>
      <c r="M76" s="139" t="str">
        <f>IF(J76&gt;=DashBoard!$O$11,"Pass","Echoue")</f>
        <v>Echoue</v>
      </c>
    </row>
    <row r="77" spans="1:13" ht="15.75" thickBot="1" x14ac:dyDescent="0.3">
      <c r="A77" s="153"/>
      <c r="B77" s="8"/>
      <c r="C77" s="8"/>
      <c r="D77" s="23"/>
      <c r="E77" s="51"/>
      <c r="F77" s="111"/>
      <c r="G77" s="111"/>
      <c r="H77" s="111"/>
      <c r="I77" s="294">
        <f t="shared" si="5"/>
        <v>0</v>
      </c>
      <c r="J77" s="298">
        <f t="shared" si="6"/>
        <v>0</v>
      </c>
      <c r="K77" s="301" t="str">
        <f t="shared" si="7"/>
        <v>43/49</v>
      </c>
      <c r="L77" s="339" t="str">
        <f t="shared" si="8"/>
        <v>B</v>
      </c>
      <c r="M77" s="139" t="str">
        <f>IF(J77&gt;=DashBoard!$O$11,"Pass","Echoue")</f>
        <v>Echoue</v>
      </c>
    </row>
    <row r="78" spans="1:13" ht="15.75" thickBot="1" x14ac:dyDescent="0.3">
      <c r="A78" s="153"/>
      <c r="B78" s="8"/>
      <c r="C78" s="8"/>
      <c r="D78" s="23"/>
      <c r="E78" s="51"/>
      <c r="F78" s="111"/>
      <c r="G78" s="111"/>
      <c r="H78" s="111"/>
      <c r="I78" s="294">
        <f t="shared" si="5"/>
        <v>0</v>
      </c>
      <c r="J78" s="298">
        <f t="shared" si="6"/>
        <v>0</v>
      </c>
      <c r="K78" s="301" t="str">
        <f t="shared" si="7"/>
        <v>43/49</v>
      </c>
      <c r="L78" s="339" t="str">
        <f t="shared" si="8"/>
        <v>B</v>
      </c>
      <c r="M78" s="139" t="str">
        <f>IF(J78&gt;=DashBoard!$O$11,"Pass","Echoue")</f>
        <v>Echoue</v>
      </c>
    </row>
    <row r="79" spans="1:13" ht="15.75" thickBot="1" x14ac:dyDescent="0.3">
      <c r="A79" s="153"/>
      <c r="B79" s="8"/>
      <c r="C79" s="8"/>
      <c r="D79" s="23"/>
      <c r="E79" s="51"/>
      <c r="F79" s="111"/>
      <c r="G79" s="111"/>
      <c r="H79" s="111"/>
      <c r="I79" s="294">
        <f t="shared" si="5"/>
        <v>0</v>
      </c>
      <c r="J79" s="298">
        <f t="shared" si="6"/>
        <v>0</v>
      </c>
      <c r="K79" s="301" t="str">
        <f t="shared" si="7"/>
        <v>43/49</v>
      </c>
      <c r="L79" s="339" t="str">
        <f t="shared" si="8"/>
        <v>B</v>
      </c>
      <c r="M79" s="139" t="str">
        <f>IF(J79&gt;=DashBoard!$O$11,"Pass","Echoue")</f>
        <v>Echoue</v>
      </c>
    </row>
    <row r="80" spans="1:13" ht="15.75" thickBot="1" x14ac:dyDescent="0.3">
      <c r="A80" s="153"/>
      <c r="B80" s="8"/>
      <c r="C80" s="8"/>
      <c r="D80" s="23"/>
      <c r="E80" s="51"/>
      <c r="F80" s="111"/>
      <c r="G80" s="111"/>
      <c r="H80" s="111"/>
      <c r="I80" s="294">
        <f t="shared" si="5"/>
        <v>0</v>
      </c>
      <c r="J80" s="298">
        <f t="shared" si="6"/>
        <v>0</v>
      </c>
      <c r="K80" s="301" t="str">
        <f t="shared" si="7"/>
        <v>43/49</v>
      </c>
      <c r="L80" s="339" t="str">
        <f t="shared" si="8"/>
        <v>B</v>
      </c>
      <c r="M80" s="139" t="str">
        <f>IF(J80&gt;=DashBoard!$O$11,"Pass","Echoue")</f>
        <v>Echoue</v>
      </c>
    </row>
    <row r="81" spans="1:13" ht="15.75" thickBot="1" x14ac:dyDescent="0.3">
      <c r="A81" s="153"/>
      <c r="B81" s="8"/>
      <c r="C81" s="8"/>
      <c r="D81" s="23"/>
      <c r="E81" s="51"/>
      <c r="F81" s="111"/>
      <c r="G81" s="111"/>
      <c r="H81" s="111"/>
      <c r="I81" s="294">
        <f t="shared" si="5"/>
        <v>0</v>
      </c>
      <c r="J81" s="298">
        <f t="shared" si="6"/>
        <v>0</v>
      </c>
      <c r="K81" s="301" t="str">
        <f t="shared" si="7"/>
        <v>43/49</v>
      </c>
      <c r="L81" s="339" t="str">
        <f t="shared" si="8"/>
        <v>B</v>
      </c>
      <c r="M81" s="139" t="str">
        <f>IF(J81&gt;=DashBoard!$O$11,"Pass","Echoue")</f>
        <v>Echoue</v>
      </c>
    </row>
    <row r="82" spans="1:13" ht="15.75" thickBot="1" x14ac:dyDescent="0.3">
      <c r="A82" s="153"/>
      <c r="B82" s="8"/>
      <c r="C82" s="8"/>
      <c r="D82" s="23"/>
      <c r="E82" s="51"/>
      <c r="F82" s="111"/>
      <c r="G82" s="111"/>
      <c r="H82" s="111"/>
      <c r="I82" s="294">
        <f t="shared" ref="I82:I122" si="9">SUM(F82:H82)</f>
        <v>0</v>
      </c>
      <c r="J82" s="298">
        <f t="shared" ref="J82:J122" si="10">(I82/$I$15)*100</f>
        <v>0</v>
      </c>
      <c r="K82" s="301" t="str">
        <f t="shared" ref="K82:K122" si="11">RANK(J82,J$17:J$122,0) &amp;"/"&amp; COUNTA($B$17:$B$122)</f>
        <v>43/49</v>
      </c>
      <c r="L82" s="339" t="str">
        <f t="shared" ref="L82:L122" si="12">IF(AA82&gt;60,"TB","B")</f>
        <v>B</v>
      </c>
      <c r="M82" s="139" t="str">
        <f>IF(J82&gt;=DashBoard!$O$11,"Pass","Echoue")</f>
        <v>Echoue</v>
      </c>
    </row>
    <row r="83" spans="1:13" ht="15.75" thickBot="1" x14ac:dyDescent="0.3">
      <c r="A83" s="153"/>
      <c r="B83" s="8"/>
      <c r="C83" s="8"/>
      <c r="D83" s="23"/>
      <c r="E83" s="51"/>
      <c r="F83" s="111"/>
      <c r="G83" s="111"/>
      <c r="H83" s="111"/>
      <c r="I83" s="294">
        <f t="shared" si="9"/>
        <v>0</v>
      </c>
      <c r="J83" s="298">
        <f t="shared" si="10"/>
        <v>0</v>
      </c>
      <c r="K83" s="301" t="str">
        <f t="shared" si="11"/>
        <v>43/49</v>
      </c>
      <c r="L83" s="339" t="str">
        <f t="shared" si="12"/>
        <v>B</v>
      </c>
      <c r="M83" s="139" t="str">
        <f>IF(J83&gt;=DashBoard!$O$11,"Pass","Echoue")</f>
        <v>Echoue</v>
      </c>
    </row>
    <row r="84" spans="1:13" ht="15.75" thickBot="1" x14ac:dyDescent="0.3">
      <c r="A84" s="153"/>
      <c r="B84" s="8"/>
      <c r="C84" s="8"/>
      <c r="D84" s="23"/>
      <c r="E84" s="51"/>
      <c r="F84" s="111"/>
      <c r="G84" s="111"/>
      <c r="H84" s="111"/>
      <c r="I84" s="294">
        <f t="shared" si="9"/>
        <v>0</v>
      </c>
      <c r="J84" s="298">
        <f t="shared" si="10"/>
        <v>0</v>
      </c>
      <c r="K84" s="301" t="str">
        <f t="shared" si="11"/>
        <v>43/49</v>
      </c>
      <c r="L84" s="339" t="str">
        <f t="shared" si="12"/>
        <v>B</v>
      </c>
      <c r="M84" s="139" t="str">
        <f>IF(J84&gt;=DashBoard!$O$11,"Pass","Echoue")</f>
        <v>Echoue</v>
      </c>
    </row>
    <row r="85" spans="1:13" ht="15.75" thickBot="1" x14ac:dyDescent="0.3">
      <c r="A85" s="153"/>
      <c r="B85" s="8"/>
      <c r="C85" s="8"/>
      <c r="D85" s="23"/>
      <c r="E85" s="51"/>
      <c r="F85" s="111"/>
      <c r="G85" s="111"/>
      <c r="H85" s="111"/>
      <c r="I85" s="294">
        <f t="shared" si="9"/>
        <v>0</v>
      </c>
      <c r="J85" s="298">
        <f t="shared" si="10"/>
        <v>0</v>
      </c>
      <c r="K85" s="301" t="str">
        <f t="shared" si="11"/>
        <v>43/49</v>
      </c>
      <c r="L85" s="339" t="str">
        <f t="shared" si="12"/>
        <v>B</v>
      </c>
      <c r="M85" s="139" t="str">
        <f>IF(J85&gt;=DashBoard!$O$11,"Pass","Echoue")</f>
        <v>Echoue</v>
      </c>
    </row>
    <row r="86" spans="1:13" ht="15.75" thickBot="1" x14ac:dyDescent="0.3">
      <c r="A86" s="153"/>
      <c r="B86" s="8"/>
      <c r="C86" s="8"/>
      <c r="D86" s="23"/>
      <c r="E86" s="51"/>
      <c r="F86" s="111"/>
      <c r="G86" s="111"/>
      <c r="H86" s="111"/>
      <c r="I86" s="294">
        <f t="shared" si="9"/>
        <v>0</v>
      </c>
      <c r="J86" s="298">
        <f t="shared" si="10"/>
        <v>0</v>
      </c>
      <c r="K86" s="301" t="str">
        <f t="shared" si="11"/>
        <v>43/49</v>
      </c>
      <c r="L86" s="339" t="str">
        <f t="shared" si="12"/>
        <v>B</v>
      </c>
      <c r="M86" s="139" t="str">
        <f>IF(J86&gt;=DashBoard!$O$11,"Pass","Echoue")</f>
        <v>Echoue</v>
      </c>
    </row>
    <row r="87" spans="1:13" ht="15.75" thickBot="1" x14ac:dyDescent="0.3">
      <c r="A87" s="153"/>
      <c r="B87" s="8"/>
      <c r="C87" s="8"/>
      <c r="D87" s="23"/>
      <c r="E87" s="51"/>
      <c r="F87" s="111"/>
      <c r="G87" s="111"/>
      <c r="H87" s="111"/>
      <c r="I87" s="294">
        <f t="shared" si="9"/>
        <v>0</v>
      </c>
      <c r="J87" s="298">
        <f t="shared" si="10"/>
        <v>0</v>
      </c>
      <c r="K87" s="301" t="str">
        <f t="shared" si="11"/>
        <v>43/49</v>
      </c>
      <c r="L87" s="339" t="str">
        <f t="shared" si="12"/>
        <v>B</v>
      </c>
      <c r="M87" s="139" t="str">
        <f>IF(J87&gt;=DashBoard!$O$11,"Pass","Echoue")</f>
        <v>Echoue</v>
      </c>
    </row>
    <row r="88" spans="1:13" ht="15.75" thickBot="1" x14ac:dyDescent="0.3">
      <c r="A88" s="153"/>
      <c r="B88" s="8"/>
      <c r="C88" s="8"/>
      <c r="D88" s="23"/>
      <c r="E88" s="51"/>
      <c r="F88" s="111"/>
      <c r="G88" s="111"/>
      <c r="H88" s="111"/>
      <c r="I88" s="294">
        <f t="shared" si="9"/>
        <v>0</v>
      </c>
      <c r="J88" s="298">
        <f t="shared" si="10"/>
        <v>0</v>
      </c>
      <c r="K88" s="301" t="str">
        <f t="shared" si="11"/>
        <v>43/49</v>
      </c>
      <c r="L88" s="339" t="str">
        <f t="shared" si="12"/>
        <v>B</v>
      </c>
      <c r="M88" s="139" t="str">
        <f>IF(J88&gt;=DashBoard!$O$11,"Pass","Echoue")</f>
        <v>Echoue</v>
      </c>
    </row>
    <row r="89" spans="1:13" ht="15.75" thickBot="1" x14ac:dyDescent="0.3">
      <c r="A89" s="153"/>
      <c r="B89" s="8"/>
      <c r="C89" s="8"/>
      <c r="D89" s="23"/>
      <c r="E89" s="51"/>
      <c r="F89" s="111"/>
      <c r="G89" s="111"/>
      <c r="H89" s="111"/>
      <c r="I89" s="294">
        <f t="shared" si="9"/>
        <v>0</v>
      </c>
      <c r="J89" s="298">
        <f t="shared" si="10"/>
        <v>0</v>
      </c>
      <c r="K89" s="301" t="str">
        <f t="shared" si="11"/>
        <v>43/49</v>
      </c>
      <c r="L89" s="339" t="str">
        <f t="shared" si="12"/>
        <v>B</v>
      </c>
      <c r="M89" s="139" t="str">
        <f>IF(J89&gt;=DashBoard!$O$11,"Pass","Echoue")</f>
        <v>Echoue</v>
      </c>
    </row>
    <row r="90" spans="1:13" ht="15.75" thickBot="1" x14ac:dyDescent="0.3">
      <c r="A90" s="153"/>
      <c r="B90" s="8"/>
      <c r="C90" s="8"/>
      <c r="D90" s="23"/>
      <c r="E90" s="51"/>
      <c r="F90" s="111"/>
      <c r="G90" s="111"/>
      <c r="H90" s="111"/>
      <c r="I90" s="294">
        <f t="shared" si="9"/>
        <v>0</v>
      </c>
      <c r="J90" s="298">
        <f t="shared" si="10"/>
        <v>0</v>
      </c>
      <c r="K90" s="301" t="str">
        <f t="shared" si="11"/>
        <v>43/49</v>
      </c>
      <c r="L90" s="339" t="str">
        <f t="shared" si="12"/>
        <v>B</v>
      </c>
      <c r="M90" s="139" t="str">
        <f>IF(J90&gt;=DashBoard!$O$11,"Pass","Echoue")</f>
        <v>Echoue</v>
      </c>
    </row>
    <row r="91" spans="1:13" ht="15.75" thickBot="1" x14ac:dyDescent="0.3">
      <c r="A91" s="153"/>
      <c r="B91" s="8"/>
      <c r="C91" s="8"/>
      <c r="D91" s="23"/>
      <c r="E91" s="51"/>
      <c r="F91" s="111"/>
      <c r="G91" s="111"/>
      <c r="H91" s="111"/>
      <c r="I91" s="294">
        <f t="shared" si="9"/>
        <v>0</v>
      </c>
      <c r="J91" s="298">
        <f t="shared" si="10"/>
        <v>0</v>
      </c>
      <c r="K91" s="301" t="str">
        <f t="shared" si="11"/>
        <v>43/49</v>
      </c>
      <c r="L91" s="339" t="str">
        <f t="shared" si="12"/>
        <v>B</v>
      </c>
      <c r="M91" s="139" t="str">
        <f>IF(J91&gt;=DashBoard!$O$11,"Pass","Echoue")</f>
        <v>Echoue</v>
      </c>
    </row>
    <row r="92" spans="1:13" ht="15.75" thickBot="1" x14ac:dyDescent="0.3">
      <c r="A92" s="153"/>
      <c r="B92" s="8"/>
      <c r="C92" s="8"/>
      <c r="D92" s="23"/>
      <c r="E92" s="51"/>
      <c r="F92" s="111"/>
      <c r="G92" s="111"/>
      <c r="H92" s="111"/>
      <c r="I92" s="294">
        <f t="shared" si="9"/>
        <v>0</v>
      </c>
      <c r="J92" s="298">
        <f t="shared" si="10"/>
        <v>0</v>
      </c>
      <c r="K92" s="301" t="str">
        <f t="shared" si="11"/>
        <v>43/49</v>
      </c>
      <c r="L92" s="339" t="str">
        <f t="shared" si="12"/>
        <v>B</v>
      </c>
      <c r="M92" s="139" t="str">
        <f>IF(J92&gt;=DashBoard!$O$11,"Pass","Echoue")</f>
        <v>Echoue</v>
      </c>
    </row>
    <row r="93" spans="1:13" ht="15.75" thickBot="1" x14ac:dyDescent="0.3">
      <c r="A93" s="153"/>
      <c r="B93" s="8"/>
      <c r="C93" s="8"/>
      <c r="D93" s="23"/>
      <c r="E93" s="51"/>
      <c r="F93" s="111"/>
      <c r="G93" s="111"/>
      <c r="H93" s="111"/>
      <c r="I93" s="294">
        <f t="shared" si="9"/>
        <v>0</v>
      </c>
      <c r="J93" s="298">
        <f t="shared" si="10"/>
        <v>0</v>
      </c>
      <c r="K93" s="301" t="str">
        <f t="shared" si="11"/>
        <v>43/49</v>
      </c>
      <c r="L93" s="339" t="str">
        <f t="shared" si="12"/>
        <v>B</v>
      </c>
      <c r="M93" s="139" t="str">
        <f>IF(J93&gt;=DashBoard!$O$11,"Pass","Echoue")</f>
        <v>Echoue</v>
      </c>
    </row>
    <row r="94" spans="1:13" ht="15.75" thickBot="1" x14ac:dyDescent="0.3">
      <c r="A94" s="153"/>
      <c r="B94" s="8"/>
      <c r="C94" s="8"/>
      <c r="D94" s="23"/>
      <c r="E94" s="51"/>
      <c r="F94" s="111"/>
      <c r="G94" s="111"/>
      <c r="H94" s="111"/>
      <c r="I94" s="294">
        <f t="shared" si="9"/>
        <v>0</v>
      </c>
      <c r="J94" s="298">
        <f t="shared" si="10"/>
        <v>0</v>
      </c>
      <c r="K94" s="301" t="str">
        <f t="shared" si="11"/>
        <v>43/49</v>
      </c>
      <c r="L94" s="339" t="str">
        <f t="shared" si="12"/>
        <v>B</v>
      </c>
      <c r="M94" s="139" t="str">
        <f>IF(J94&gt;=DashBoard!$O$11,"Pass","Echoue")</f>
        <v>Echoue</v>
      </c>
    </row>
    <row r="95" spans="1:13" ht="15.75" thickBot="1" x14ac:dyDescent="0.3">
      <c r="A95" s="153"/>
      <c r="B95" s="8"/>
      <c r="C95" s="8"/>
      <c r="D95" s="23"/>
      <c r="E95" s="51"/>
      <c r="F95" s="111"/>
      <c r="G95" s="111"/>
      <c r="H95" s="111"/>
      <c r="I95" s="294">
        <f t="shared" si="9"/>
        <v>0</v>
      </c>
      <c r="J95" s="298">
        <f t="shared" si="10"/>
        <v>0</v>
      </c>
      <c r="K95" s="301" t="str">
        <f t="shared" si="11"/>
        <v>43/49</v>
      </c>
      <c r="L95" s="339" t="str">
        <f t="shared" si="12"/>
        <v>B</v>
      </c>
      <c r="M95" s="139" t="str">
        <f>IF(J95&gt;=DashBoard!$O$11,"Pass","Echoue")</f>
        <v>Echoue</v>
      </c>
    </row>
    <row r="96" spans="1:13" ht="15.75" thickBot="1" x14ac:dyDescent="0.3">
      <c r="A96" s="153"/>
      <c r="B96" s="8"/>
      <c r="C96" s="8"/>
      <c r="D96" s="23"/>
      <c r="E96" s="51"/>
      <c r="F96" s="111"/>
      <c r="G96" s="111"/>
      <c r="H96" s="111"/>
      <c r="I96" s="294">
        <f t="shared" si="9"/>
        <v>0</v>
      </c>
      <c r="J96" s="298">
        <f t="shared" si="10"/>
        <v>0</v>
      </c>
      <c r="K96" s="301" t="str">
        <f t="shared" si="11"/>
        <v>43/49</v>
      </c>
      <c r="L96" s="339" t="str">
        <f t="shared" si="12"/>
        <v>B</v>
      </c>
      <c r="M96" s="139" t="str">
        <f>IF(J96&gt;=DashBoard!$O$11,"Pass","Echoue")</f>
        <v>Echoue</v>
      </c>
    </row>
    <row r="97" spans="1:13" ht="15.75" thickBot="1" x14ac:dyDescent="0.3">
      <c r="A97" s="153"/>
      <c r="B97" s="8"/>
      <c r="C97" s="8"/>
      <c r="D97" s="23"/>
      <c r="E97" s="51"/>
      <c r="F97" s="111"/>
      <c r="G97" s="111"/>
      <c r="H97" s="111"/>
      <c r="I97" s="294">
        <f t="shared" si="9"/>
        <v>0</v>
      </c>
      <c r="J97" s="298">
        <f t="shared" si="10"/>
        <v>0</v>
      </c>
      <c r="K97" s="301" t="str">
        <f t="shared" si="11"/>
        <v>43/49</v>
      </c>
      <c r="L97" s="339" t="str">
        <f t="shared" si="12"/>
        <v>B</v>
      </c>
      <c r="M97" s="139" t="str">
        <f>IF(J97&gt;=DashBoard!$O$11,"Pass","Echoue")</f>
        <v>Echoue</v>
      </c>
    </row>
    <row r="98" spans="1:13" ht="15.75" thickBot="1" x14ac:dyDescent="0.3">
      <c r="A98" s="153"/>
      <c r="B98" s="8"/>
      <c r="C98" s="8"/>
      <c r="D98" s="23"/>
      <c r="E98" s="51"/>
      <c r="F98" s="111"/>
      <c r="G98" s="111"/>
      <c r="H98" s="111"/>
      <c r="I98" s="294">
        <f t="shared" si="9"/>
        <v>0</v>
      </c>
      <c r="J98" s="298">
        <f t="shared" si="10"/>
        <v>0</v>
      </c>
      <c r="K98" s="301" t="str">
        <f t="shared" si="11"/>
        <v>43/49</v>
      </c>
      <c r="L98" s="339" t="str">
        <f t="shared" si="12"/>
        <v>B</v>
      </c>
      <c r="M98" s="139" t="str">
        <f>IF(J98&gt;=DashBoard!$O$11,"Pass","Echoue")</f>
        <v>Echoue</v>
      </c>
    </row>
    <row r="99" spans="1:13" ht="15.75" thickBot="1" x14ac:dyDescent="0.3">
      <c r="A99" s="153"/>
      <c r="B99" s="8"/>
      <c r="C99" s="8"/>
      <c r="D99" s="23"/>
      <c r="E99" s="51"/>
      <c r="F99" s="111"/>
      <c r="G99" s="111"/>
      <c r="H99" s="111"/>
      <c r="I99" s="294">
        <f t="shared" si="9"/>
        <v>0</v>
      </c>
      <c r="J99" s="298">
        <f t="shared" si="10"/>
        <v>0</v>
      </c>
      <c r="K99" s="301" t="str">
        <f t="shared" si="11"/>
        <v>43/49</v>
      </c>
      <c r="L99" s="339" t="str">
        <f t="shared" si="12"/>
        <v>B</v>
      </c>
      <c r="M99" s="139" t="str">
        <f>IF(J99&gt;=DashBoard!$O$11,"Pass","Echoue")</f>
        <v>Echoue</v>
      </c>
    </row>
    <row r="100" spans="1:13" ht="15.75" thickBot="1" x14ac:dyDescent="0.3">
      <c r="A100" s="153"/>
      <c r="B100" s="8"/>
      <c r="C100" s="8"/>
      <c r="D100" s="23"/>
      <c r="E100" s="51"/>
      <c r="F100" s="111"/>
      <c r="G100" s="111"/>
      <c r="H100" s="111"/>
      <c r="I100" s="294">
        <f t="shared" si="9"/>
        <v>0</v>
      </c>
      <c r="J100" s="298">
        <f t="shared" si="10"/>
        <v>0</v>
      </c>
      <c r="K100" s="301" t="str">
        <f t="shared" si="11"/>
        <v>43/49</v>
      </c>
      <c r="L100" s="339" t="str">
        <f t="shared" si="12"/>
        <v>B</v>
      </c>
      <c r="M100" s="139" t="str">
        <f>IF(J100&gt;=DashBoard!$O$11,"Pass","Echoue")</f>
        <v>Echoue</v>
      </c>
    </row>
    <row r="101" spans="1:13" ht="15.75" thickBot="1" x14ac:dyDescent="0.3">
      <c r="A101" s="153"/>
      <c r="B101" s="8"/>
      <c r="C101" s="8"/>
      <c r="D101" s="23"/>
      <c r="E101" s="51"/>
      <c r="F101" s="111"/>
      <c r="G101" s="111"/>
      <c r="H101" s="111"/>
      <c r="I101" s="294">
        <f t="shared" si="9"/>
        <v>0</v>
      </c>
      <c r="J101" s="298">
        <f t="shared" si="10"/>
        <v>0</v>
      </c>
      <c r="K101" s="301" t="str">
        <f t="shared" si="11"/>
        <v>43/49</v>
      </c>
      <c r="L101" s="339" t="str">
        <f t="shared" si="12"/>
        <v>B</v>
      </c>
      <c r="M101" s="139" t="str">
        <f>IF(J101&gt;=DashBoard!$O$11,"Pass","Echoue")</f>
        <v>Echoue</v>
      </c>
    </row>
    <row r="102" spans="1:13" ht="15.75" thickBot="1" x14ac:dyDescent="0.3">
      <c r="A102" s="153"/>
      <c r="B102" s="8"/>
      <c r="C102" s="8"/>
      <c r="D102" s="23"/>
      <c r="E102" s="51"/>
      <c r="F102" s="111"/>
      <c r="G102" s="111"/>
      <c r="H102" s="111"/>
      <c r="I102" s="294">
        <f t="shared" si="9"/>
        <v>0</v>
      </c>
      <c r="J102" s="298">
        <f t="shared" si="10"/>
        <v>0</v>
      </c>
      <c r="K102" s="301" t="str">
        <f t="shared" si="11"/>
        <v>43/49</v>
      </c>
      <c r="L102" s="339" t="str">
        <f t="shared" si="12"/>
        <v>B</v>
      </c>
      <c r="M102" s="139" t="str">
        <f>IF(J102&gt;=DashBoard!$O$11,"Pass","Echoue")</f>
        <v>Echoue</v>
      </c>
    </row>
    <row r="103" spans="1:13" ht="15.75" thickBot="1" x14ac:dyDescent="0.3">
      <c r="A103" s="153"/>
      <c r="B103" s="8"/>
      <c r="C103" s="8"/>
      <c r="D103" s="23"/>
      <c r="E103" s="51"/>
      <c r="F103" s="111"/>
      <c r="G103" s="111"/>
      <c r="H103" s="111"/>
      <c r="I103" s="294">
        <f t="shared" si="9"/>
        <v>0</v>
      </c>
      <c r="J103" s="298">
        <f t="shared" si="10"/>
        <v>0</v>
      </c>
      <c r="K103" s="301" t="str">
        <f t="shared" si="11"/>
        <v>43/49</v>
      </c>
      <c r="L103" s="339" t="str">
        <f t="shared" si="12"/>
        <v>B</v>
      </c>
      <c r="M103" s="139" t="str">
        <f>IF(J103&gt;=DashBoard!$O$11,"Pass","Echoue")</f>
        <v>Echoue</v>
      </c>
    </row>
    <row r="104" spans="1:13" ht="15.75" thickBot="1" x14ac:dyDescent="0.3">
      <c r="A104" s="153"/>
      <c r="B104" s="8"/>
      <c r="C104" s="8"/>
      <c r="D104" s="23"/>
      <c r="E104" s="51"/>
      <c r="F104" s="111"/>
      <c r="G104" s="111"/>
      <c r="H104" s="111"/>
      <c r="I104" s="294">
        <f t="shared" si="9"/>
        <v>0</v>
      </c>
      <c r="J104" s="298">
        <f t="shared" si="10"/>
        <v>0</v>
      </c>
      <c r="K104" s="301" t="str">
        <f t="shared" si="11"/>
        <v>43/49</v>
      </c>
      <c r="L104" s="339" t="str">
        <f t="shared" si="12"/>
        <v>B</v>
      </c>
      <c r="M104" s="139" t="str">
        <f>IF(J104&gt;=DashBoard!$O$11,"Pass","Echoue")</f>
        <v>Echoue</v>
      </c>
    </row>
    <row r="105" spans="1:13" ht="15.75" thickBot="1" x14ac:dyDescent="0.3">
      <c r="A105" s="153"/>
      <c r="B105" s="8"/>
      <c r="C105" s="8"/>
      <c r="D105" s="23"/>
      <c r="E105" s="51"/>
      <c r="F105" s="111"/>
      <c r="G105" s="111"/>
      <c r="H105" s="111"/>
      <c r="I105" s="294">
        <f t="shared" si="9"/>
        <v>0</v>
      </c>
      <c r="J105" s="298">
        <f t="shared" si="10"/>
        <v>0</v>
      </c>
      <c r="K105" s="301" t="str">
        <f t="shared" si="11"/>
        <v>43/49</v>
      </c>
      <c r="L105" s="339" t="str">
        <f t="shared" si="12"/>
        <v>B</v>
      </c>
      <c r="M105" s="139" t="str">
        <f>IF(J105&gt;=DashBoard!$O$11,"Pass","Echoue")</f>
        <v>Echoue</v>
      </c>
    </row>
    <row r="106" spans="1:13" ht="15.75" thickBot="1" x14ac:dyDescent="0.3">
      <c r="A106" s="153"/>
      <c r="B106" s="8"/>
      <c r="C106" s="8"/>
      <c r="D106" s="23"/>
      <c r="E106" s="51"/>
      <c r="F106" s="111"/>
      <c r="G106" s="111"/>
      <c r="H106" s="111"/>
      <c r="I106" s="294">
        <f t="shared" si="9"/>
        <v>0</v>
      </c>
      <c r="J106" s="298">
        <f t="shared" si="10"/>
        <v>0</v>
      </c>
      <c r="K106" s="301" t="str">
        <f t="shared" si="11"/>
        <v>43/49</v>
      </c>
      <c r="L106" s="339" t="str">
        <f t="shared" si="12"/>
        <v>B</v>
      </c>
      <c r="M106" s="139" t="str">
        <f>IF(J106&gt;=DashBoard!$O$11,"Pass","Echoue")</f>
        <v>Echoue</v>
      </c>
    </row>
    <row r="107" spans="1:13" ht="15.75" thickBot="1" x14ac:dyDescent="0.3">
      <c r="A107" s="153"/>
      <c r="B107" s="8"/>
      <c r="C107" s="8"/>
      <c r="D107" s="23"/>
      <c r="E107" s="51"/>
      <c r="F107" s="111"/>
      <c r="G107" s="111"/>
      <c r="H107" s="111"/>
      <c r="I107" s="294">
        <f t="shared" si="9"/>
        <v>0</v>
      </c>
      <c r="J107" s="298">
        <f t="shared" si="10"/>
        <v>0</v>
      </c>
      <c r="K107" s="301" t="str">
        <f t="shared" si="11"/>
        <v>43/49</v>
      </c>
      <c r="L107" s="339" t="str">
        <f t="shared" si="12"/>
        <v>B</v>
      </c>
      <c r="M107" s="139" t="str">
        <f>IF(J107&gt;=DashBoard!$O$11,"Pass","Echoue")</f>
        <v>Echoue</v>
      </c>
    </row>
    <row r="108" spans="1:13" ht="15.75" thickBot="1" x14ac:dyDescent="0.3">
      <c r="A108" s="153"/>
      <c r="B108" s="8"/>
      <c r="C108" s="8"/>
      <c r="D108" s="23"/>
      <c r="E108" s="51"/>
      <c r="F108" s="111"/>
      <c r="G108" s="111"/>
      <c r="H108" s="111"/>
      <c r="I108" s="294">
        <f t="shared" si="9"/>
        <v>0</v>
      </c>
      <c r="J108" s="298">
        <f t="shared" si="10"/>
        <v>0</v>
      </c>
      <c r="K108" s="301" t="str">
        <f t="shared" si="11"/>
        <v>43/49</v>
      </c>
      <c r="L108" s="339" t="str">
        <f t="shared" si="12"/>
        <v>B</v>
      </c>
      <c r="M108" s="139" t="str">
        <f>IF(J108&gt;=DashBoard!$O$11,"Pass","Echoue")</f>
        <v>Echoue</v>
      </c>
    </row>
    <row r="109" spans="1:13" ht="15.75" thickBot="1" x14ac:dyDescent="0.3">
      <c r="A109" s="153"/>
      <c r="B109" s="8"/>
      <c r="C109" s="8"/>
      <c r="D109" s="23"/>
      <c r="E109" s="51"/>
      <c r="F109" s="111"/>
      <c r="G109" s="111"/>
      <c r="H109" s="111"/>
      <c r="I109" s="294">
        <f t="shared" si="9"/>
        <v>0</v>
      </c>
      <c r="J109" s="298">
        <f t="shared" si="10"/>
        <v>0</v>
      </c>
      <c r="K109" s="301" t="str">
        <f t="shared" si="11"/>
        <v>43/49</v>
      </c>
      <c r="L109" s="339" t="str">
        <f t="shared" si="12"/>
        <v>B</v>
      </c>
      <c r="M109" s="139" t="str">
        <f>IF(J109&gt;=DashBoard!$O$11,"Pass","Echoue")</f>
        <v>Echoue</v>
      </c>
    </row>
    <row r="110" spans="1:13" ht="15.75" thickBot="1" x14ac:dyDescent="0.3">
      <c r="A110" s="153"/>
      <c r="B110" s="8"/>
      <c r="C110" s="8"/>
      <c r="D110" s="23"/>
      <c r="E110" s="51"/>
      <c r="F110" s="111"/>
      <c r="G110" s="111"/>
      <c r="H110" s="111"/>
      <c r="I110" s="294">
        <f t="shared" si="9"/>
        <v>0</v>
      </c>
      <c r="J110" s="298">
        <f t="shared" si="10"/>
        <v>0</v>
      </c>
      <c r="K110" s="301" t="str">
        <f t="shared" si="11"/>
        <v>43/49</v>
      </c>
      <c r="L110" s="339" t="str">
        <f t="shared" si="12"/>
        <v>B</v>
      </c>
      <c r="M110" s="139" t="str">
        <f>IF(J110&gt;=DashBoard!$O$11,"Pass","Echoue")</f>
        <v>Echoue</v>
      </c>
    </row>
    <row r="111" spans="1:13" ht="15.75" thickBot="1" x14ac:dyDescent="0.3">
      <c r="A111" s="153"/>
      <c r="B111" s="8"/>
      <c r="C111" s="8"/>
      <c r="D111" s="23"/>
      <c r="E111" s="51"/>
      <c r="F111" s="111"/>
      <c r="G111" s="111"/>
      <c r="H111" s="111"/>
      <c r="I111" s="294">
        <f t="shared" si="9"/>
        <v>0</v>
      </c>
      <c r="J111" s="298">
        <f t="shared" si="10"/>
        <v>0</v>
      </c>
      <c r="K111" s="301" t="str">
        <f t="shared" si="11"/>
        <v>43/49</v>
      </c>
      <c r="L111" s="339" t="str">
        <f t="shared" si="12"/>
        <v>B</v>
      </c>
      <c r="M111" s="139" t="str">
        <f>IF(J111&gt;=DashBoard!$O$11,"Pass","Echoue")</f>
        <v>Echoue</v>
      </c>
    </row>
    <row r="112" spans="1:13" ht="15.75" thickBot="1" x14ac:dyDescent="0.3">
      <c r="A112" s="153"/>
      <c r="B112" s="8"/>
      <c r="C112" s="8"/>
      <c r="D112" s="23"/>
      <c r="E112" s="51"/>
      <c r="F112" s="111"/>
      <c r="G112" s="111"/>
      <c r="H112" s="111"/>
      <c r="I112" s="294">
        <f t="shared" si="9"/>
        <v>0</v>
      </c>
      <c r="J112" s="298">
        <f t="shared" si="10"/>
        <v>0</v>
      </c>
      <c r="K112" s="301" t="str">
        <f t="shared" si="11"/>
        <v>43/49</v>
      </c>
      <c r="L112" s="339" t="str">
        <f t="shared" si="12"/>
        <v>B</v>
      </c>
      <c r="M112" s="139" t="str">
        <f>IF(J112&gt;=DashBoard!$O$11,"Pass","Echoue")</f>
        <v>Echoue</v>
      </c>
    </row>
    <row r="113" spans="1:13" ht="15.75" thickBot="1" x14ac:dyDescent="0.3">
      <c r="A113" s="153"/>
      <c r="B113" s="8"/>
      <c r="C113" s="8"/>
      <c r="D113" s="23"/>
      <c r="E113" s="51"/>
      <c r="F113" s="111"/>
      <c r="G113" s="111"/>
      <c r="H113" s="111"/>
      <c r="I113" s="294">
        <f t="shared" si="9"/>
        <v>0</v>
      </c>
      <c r="J113" s="298">
        <f t="shared" si="10"/>
        <v>0</v>
      </c>
      <c r="K113" s="301" t="str">
        <f t="shared" si="11"/>
        <v>43/49</v>
      </c>
      <c r="L113" s="339" t="str">
        <f t="shared" si="12"/>
        <v>B</v>
      </c>
      <c r="M113" s="139" t="str">
        <f>IF(J113&gt;=DashBoard!$O$11,"Pass","Echoue")</f>
        <v>Echoue</v>
      </c>
    </row>
    <row r="114" spans="1:13" ht="15.75" thickBot="1" x14ac:dyDescent="0.3">
      <c r="A114" s="153"/>
      <c r="B114" s="8"/>
      <c r="C114" s="8"/>
      <c r="D114" s="23"/>
      <c r="E114" s="51"/>
      <c r="F114" s="111"/>
      <c r="G114" s="111"/>
      <c r="H114" s="111"/>
      <c r="I114" s="294">
        <f t="shared" si="9"/>
        <v>0</v>
      </c>
      <c r="J114" s="298">
        <f t="shared" si="10"/>
        <v>0</v>
      </c>
      <c r="K114" s="301" t="str">
        <f t="shared" si="11"/>
        <v>43/49</v>
      </c>
      <c r="L114" s="339" t="str">
        <f t="shared" si="12"/>
        <v>B</v>
      </c>
      <c r="M114" s="139" t="str">
        <f>IF(J114&gt;=DashBoard!$O$11,"Pass","Echoue")</f>
        <v>Echoue</v>
      </c>
    </row>
    <row r="115" spans="1:13" ht="15.75" thickBot="1" x14ac:dyDescent="0.3">
      <c r="A115" s="153"/>
      <c r="B115" s="8"/>
      <c r="C115" s="8"/>
      <c r="D115" s="23"/>
      <c r="E115" s="51"/>
      <c r="F115" s="111"/>
      <c r="G115" s="111"/>
      <c r="H115" s="111"/>
      <c r="I115" s="294">
        <f t="shared" si="9"/>
        <v>0</v>
      </c>
      <c r="J115" s="298">
        <f t="shared" si="10"/>
        <v>0</v>
      </c>
      <c r="K115" s="301" t="str">
        <f t="shared" si="11"/>
        <v>43/49</v>
      </c>
      <c r="L115" s="339" t="str">
        <f t="shared" si="12"/>
        <v>B</v>
      </c>
      <c r="M115" s="139" t="str">
        <f>IF(J115&gt;=DashBoard!$O$11,"Pass","Echoue")</f>
        <v>Echoue</v>
      </c>
    </row>
    <row r="116" spans="1:13" ht="15.75" thickBot="1" x14ac:dyDescent="0.3">
      <c r="A116" s="153"/>
      <c r="B116" s="8"/>
      <c r="C116" s="8"/>
      <c r="D116" s="23"/>
      <c r="E116" s="51"/>
      <c r="F116" s="111"/>
      <c r="G116" s="111"/>
      <c r="H116" s="111"/>
      <c r="I116" s="294">
        <f t="shared" si="9"/>
        <v>0</v>
      </c>
      <c r="J116" s="298">
        <f t="shared" si="10"/>
        <v>0</v>
      </c>
      <c r="K116" s="301" t="str">
        <f t="shared" si="11"/>
        <v>43/49</v>
      </c>
      <c r="L116" s="339" t="str">
        <f t="shared" si="12"/>
        <v>B</v>
      </c>
      <c r="M116" s="139" t="str">
        <f>IF(J116&gt;=DashBoard!$O$11,"Pass","Echoue")</f>
        <v>Echoue</v>
      </c>
    </row>
    <row r="117" spans="1:13" ht="15.75" thickBot="1" x14ac:dyDescent="0.3">
      <c r="A117" s="153"/>
      <c r="B117" s="8"/>
      <c r="C117" s="8"/>
      <c r="D117" s="23"/>
      <c r="E117" s="51"/>
      <c r="F117" s="111"/>
      <c r="G117" s="111"/>
      <c r="H117" s="111"/>
      <c r="I117" s="294">
        <f t="shared" si="9"/>
        <v>0</v>
      </c>
      <c r="J117" s="298">
        <f t="shared" si="10"/>
        <v>0</v>
      </c>
      <c r="K117" s="301" t="str">
        <f t="shared" si="11"/>
        <v>43/49</v>
      </c>
      <c r="L117" s="339" t="str">
        <f t="shared" si="12"/>
        <v>B</v>
      </c>
      <c r="M117" s="139" t="str">
        <f>IF(J117&gt;=DashBoard!$O$11,"Pass","Echoue")</f>
        <v>Echoue</v>
      </c>
    </row>
    <row r="118" spans="1:13" ht="15.75" thickBot="1" x14ac:dyDescent="0.3">
      <c r="A118" s="153"/>
      <c r="B118" s="8"/>
      <c r="C118" s="8"/>
      <c r="D118" s="23"/>
      <c r="E118" s="51"/>
      <c r="F118" s="111"/>
      <c r="G118" s="111"/>
      <c r="H118" s="111"/>
      <c r="I118" s="294">
        <f t="shared" si="9"/>
        <v>0</v>
      </c>
      <c r="J118" s="298">
        <f t="shared" si="10"/>
        <v>0</v>
      </c>
      <c r="K118" s="301" t="str">
        <f t="shared" si="11"/>
        <v>43/49</v>
      </c>
      <c r="L118" s="339" t="str">
        <f t="shared" si="12"/>
        <v>B</v>
      </c>
      <c r="M118" s="139" t="str">
        <f>IF(J118&gt;=DashBoard!$O$11,"Pass","Echoue")</f>
        <v>Echoue</v>
      </c>
    </row>
    <row r="119" spans="1:13" ht="15.75" thickBot="1" x14ac:dyDescent="0.3">
      <c r="A119" s="153"/>
      <c r="B119" s="8"/>
      <c r="C119" s="8"/>
      <c r="D119" s="23"/>
      <c r="E119" s="51"/>
      <c r="F119" s="111"/>
      <c r="G119" s="111"/>
      <c r="H119" s="111"/>
      <c r="I119" s="294">
        <f t="shared" si="9"/>
        <v>0</v>
      </c>
      <c r="J119" s="298">
        <f t="shared" si="10"/>
        <v>0</v>
      </c>
      <c r="K119" s="301" t="str">
        <f t="shared" si="11"/>
        <v>43/49</v>
      </c>
      <c r="L119" s="339" t="str">
        <f t="shared" si="12"/>
        <v>B</v>
      </c>
      <c r="M119" s="139" t="str">
        <f>IF(J119&gt;=DashBoard!$O$11,"Pass","Echoue")</f>
        <v>Echoue</v>
      </c>
    </row>
    <row r="120" spans="1:13" ht="15.75" thickBot="1" x14ac:dyDescent="0.3">
      <c r="A120" s="153"/>
      <c r="B120" s="8"/>
      <c r="C120" s="8"/>
      <c r="D120" s="23"/>
      <c r="E120" s="51"/>
      <c r="F120" s="111"/>
      <c r="G120" s="111"/>
      <c r="H120" s="111"/>
      <c r="I120" s="294">
        <f t="shared" si="9"/>
        <v>0</v>
      </c>
      <c r="J120" s="298">
        <f t="shared" si="10"/>
        <v>0</v>
      </c>
      <c r="K120" s="301" t="str">
        <f t="shared" si="11"/>
        <v>43/49</v>
      </c>
      <c r="L120" s="339" t="str">
        <f t="shared" si="12"/>
        <v>B</v>
      </c>
      <c r="M120" s="139" t="str">
        <f>IF(J120&gt;=DashBoard!$O$11,"Pass","Echoue")</f>
        <v>Echoue</v>
      </c>
    </row>
    <row r="121" spans="1:13" ht="15.75" thickBot="1" x14ac:dyDescent="0.3">
      <c r="A121" s="153"/>
      <c r="B121" s="8"/>
      <c r="C121" s="8"/>
      <c r="D121" s="23"/>
      <c r="E121" s="51"/>
      <c r="F121" s="111"/>
      <c r="G121" s="111"/>
      <c r="H121" s="111"/>
      <c r="I121" s="294">
        <f t="shared" si="9"/>
        <v>0</v>
      </c>
      <c r="J121" s="298">
        <f t="shared" si="10"/>
        <v>0</v>
      </c>
      <c r="K121" s="301" t="str">
        <f t="shared" si="11"/>
        <v>43/49</v>
      </c>
      <c r="L121" s="339" t="str">
        <f t="shared" si="12"/>
        <v>B</v>
      </c>
      <c r="M121" s="139" t="str">
        <f>IF(J121&gt;=DashBoard!$O$11,"Pass","Echoue")</f>
        <v>Echoue</v>
      </c>
    </row>
    <row r="122" spans="1:13" ht="15.75" thickBot="1" x14ac:dyDescent="0.3">
      <c r="A122" s="154"/>
      <c r="B122" s="9"/>
      <c r="C122" s="9"/>
      <c r="D122" s="25"/>
      <c r="E122" s="44"/>
      <c r="F122" s="115"/>
      <c r="G122" s="115"/>
      <c r="H122" s="115"/>
      <c r="I122" s="294">
        <f t="shared" si="9"/>
        <v>0</v>
      </c>
      <c r="J122" s="299">
        <f t="shared" si="10"/>
        <v>0</v>
      </c>
      <c r="K122" s="301" t="str">
        <f t="shared" si="11"/>
        <v>43/49</v>
      </c>
      <c r="L122" s="339" t="str">
        <f t="shared" si="12"/>
        <v>B</v>
      </c>
      <c r="M122" s="139" t="str">
        <f>IF(J122&gt;=DashBoard!$O$11,"Pass","Echoue")</f>
        <v>Echoue</v>
      </c>
    </row>
  </sheetData>
  <sheetProtection selectLockedCells="1"/>
  <conditionalFormatting sqref="E17:E122">
    <cfRule type="containsText" dxfId="53" priority="3" operator="containsText" text="Abandon">
      <formula>NOT(ISERROR(SEARCH("Abandon",E17)))</formula>
    </cfRule>
    <cfRule type="expression" dxfId="52" priority="4">
      <formula>E17 = "Abandon"</formula>
    </cfRule>
  </conditionalFormatting>
  <conditionalFormatting sqref="F17:H122">
    <cfRule type="cellIs" dxfId="51" priority="1" operator="lessThan">
      <formula>F$15/2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D621A-D080-4968-8D78-FDBE0BBF065D}">
  <sheetPr codeName="Feuil7"/>
  <dimension ref="A1:AE122"/>
  <sheetViews>
    <sheetView zoomScale="80" zoomScaleNormal="80" workbookViewId="0">
      <selection activeCell="T36" sqref="T36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(P3)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26</v>
      </c>
      <c r="H6" s="142"/>
      <c r="I6" s="141">
        <f>IFERROR(COUNTIF(I17:I122,"&gt;="&amp;I15/2),0)</f>
        <v>0</v>
      </c>
      <c r="J6" s="141">
        <f t="shared" ref="J6:X6" si="0">IFERROR(COUNTIF(J17:J122,"&gt;="&amp;J15/2),0)</f>
        <v>0</v>
      </c>
      <c r="K6" s="141">
        <f t="shared" si="0"/>
        <v>0</v>
      </c>
      <c r="L6" s="141">
        <f t="shared" si="0"/>
        <v>0</v>
      </c>
      <c r="M6" s="141">
        <f t="shared" si="0"/>
        <v>0</v>
      </c>
      <c r="N6" s="141">
        <f t="shared" si="0"/>
        <v>0</v>
      </c>
      <c r="O6" s="141">
        <f t="shared" si="0"/>
        <v>0</v>
      </c>
      <c r="P6" s="141">
        <f t="shared" si="0"/>
        <v>0</v>
      </c>
      <c r="Q6" s="141">
        <f t="shared" si="0"/>
        <v>0</v>
      </c>
      <c r="R6" s="141">
        <f t="shared" si="0"/>
        <v>0</v>
      </c>
      <c r="S6" s="141">
        <f t="shared" si="0"/>
        <v>0</v>
      </c>
      <c r="T6" s="141">
        <f t="shared" si="0"/>
        <v>0</v>
      </c>
      <c r="U6" s="141">
        <f t="shared" si="0"/>
        <v>0</v>
      </c>
      <c r="V6" s="141">
        <f t="shared" si="0"/>
        <v>0</v>
      </c>
      <c r="W6" s="141">
        <f t="shared" si="0"/>
        <v>0</v>
      </c>
      <c r="X6" s="141">
        <f t="shared" si="0"/>
        <v>0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15</v>
      </c>
      <c r="H7" s="146"/>
      <c r="I7" s="145">
        <f t="shared" si="1"/>
        <v>0</v>
      </c>
      <c r="J7" s="145">
        <f t="shared" si="1"/>
        <v>0</v>
      </c>
      <c r="K7" s="145">
        <f t="shared" si="1"/>
        <v>0</v>
      </c>
      <c r="L7" s="145">
        <f t="shared" si="1"/>
        <v>0</v>
      </c>
      <c r="M7" s="145">
        <f t="shared" si="1"/>
        <v>0</v>
      </c>
      <c r="N7" s="145">
        <f t="shared" si="1"/>
        <v>0</v>
      </c>
      <c r="O7" s="145">
        <f t="shared" si="1"/>
        <v>0</v>
      </c>
      <c r="P7" s="145">
        <f t="shared" si="1"/>
        <v>0</v>
      </c>
      <c r="Q7" s="145">
        <f t="shared" si="1"/>
        <v>0</v>
      </c>
      <c r="R7" s="145">
        <f t="shared" si="1"/>
        <v>0</v>
      </c>
      <c r="S7" s="145">
        <f t="shared" si="1"/>
        <v>0</v>
      </c>
      <c r="T7" s="145">
        <f t="shared" si="1"/>
        <v>0</v>
      </c>
      <c r="U7" s="145">
        <f t="shared" si="1"/>
        <v>0</v>
      </c>
      <c r="V7" s="145">
        <f t="shared" si="1"/>
        <v>0</v>
      </c>
      <c r="W7" s="145">
        <f t="shared" si="1"/>
        <v>0</v>
      </c>
      <c r="X7" s="145">
        <f t="shared" si="1"/>
        <v>0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8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41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0</v>
      </c>
      <c r="S8" s="145">
        <f t="shared" si="2"/>
        <v>0</v>
      </c>
      <c r="T8" s="145">
        <f t="shared" si="2"/>
        <v>0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162</v>
      </c>
      <c r="K9" s="145">
        <f t="shared" si="3"/>
        <v>0</v>
      </c>
      <c r="L9" s="145">
        <f t="shared" si="3"/>
        <v>0</v>
      </c>
      <c r="M9" s="145">
        <f t="shared" si="3"/>
        <v>0</v>
      </c>
      <c r="N9" s="145">
        <f t="shared" si="3"/>
        <v>0</v>
      </c>
      <c r="O9" s="145">
        <f t="shared" si="3"/>
        <v>0</v>
      </c>
      <c r="P9" s="145">
        <f t="shared" si="3"/>
        <v>0</v>
      </c>
      <c r="Q9" s="145">
        <f t="shared" si="3"/>
        <v>0</v>
      </c>
      <c r="R9" s="145">
        <f t="shared" si="3"/>
        <v>0</v>
      </c>
      <c r="S9" s="145">
        <f t="shared" si="3"/>
        <v>0</v>
      </c>
      <c r="T9" s="145">
        <f t="shared" si="3"/>
        <v>0</v>
      </c>
      <c r="U9" s="145">
        <f t="shared" si="3"/>
        <v>0</v>
      </c>
      <c r="V9" s="145">
        <f t="shared" si="3"/>
        <v>0</v>
      </c>
      <c r="W9" s="145">
        <f t="shared" si="3"/>
        <v>0</v>
      </c>
      <c r="X9" s="145">
        <f t="shared" si="3"/>
        <v>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63.414634146341463</v>
      </c>
      <c r="H10" s="146"/>
      <c r="I10" s="145">
        <f t="shared" si="4"/>
        <v>0</v>
      </c>
      <c r="J10" s="145">
        <f t="shared" si="4"/>
        <v>0</v>
      </c>
      <c r="K10" s="145">
        <f t="shared" si="4"/>
        <v>0</v>
      </c>
      <c r="L10" s="145">
        <f t="shared" si="4"/>
        <v>0</v>
      </c>
      <c r="M10" s="145">
        <f t="shared" si="4"/>
        <v>0</v>
      </c>
      <c r="N10" s="145">
        <f t="shared" si="4"/>
        <v>0</v>
      </c>
      <c r="O10" s="145">
        <f t="shared" si="4"/>
        <v>0</v>
      </c>
      <c r="P10" s="145">
        <f t="shared" si="4"/>
        <v>0</v>
      </c>
      <c r="Q10" s="145">
        <f t="shared" si="4"/>
        <v>0</v>
      </c>
      <c r="R10" s="145">
        <f t="shared" si="4"/>
        <v>0</v>
      </c>
      <c r="S10" s="145">
        <f t="shared" si="4"/>
        <v>0</v>
      </c>
      <c r="T10" s="145">
        <f t="shared" si="4"/>
        <v>0</v>
      </c>
      <c r="U10" s="145">
        <f t="shared" si="4"/>
        <v>0</v>
      </c>
      <c r="V10" s="145">
        <f t="shared" si="4"/>
        <v>0</v>
      </c>
      <c r="W10" s="145">
        <f t="shared" si="4"/>
        <v>0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36.585365853658537</v>
      </c>
      <c r="H11" s="146"/>
      <c r="I11" s="145">
        <f t="shared" si="5"/>
        <v>0</v>
      </c>
      <c r="J11" s="145">
        <f t="shared" si="5"/>
        <v>0</v>
      </c>
      <c r="K11" s="145">
        <f t="shared" si="5"/>
        <v>0</v>
      </c>
      <c r="L11" s="145">
        <f t="shared" si="5"/>
        <v>0</v>
      </c>
      <c r="M11" s="145">
        <f t="shared" si="5"/>
        <v>0</v>
      </c>
      <c r="N11" s="145">
        <f t="shared" si="5"/>
        <v>0</v>
      </c>
      <c r="O11" s="145">
        <f t="shared" si="5"/>
        <v>0</v>
      </c>
      <c r="P11" s="145">
        <f t="shared" si="5"/>
        <v>0</v>
      </c>
      <c r="Q11" s="145">
        <f t="shared" si="5"/>
        <v>0</v>
      </c>
      <c r="R11" s="145">
        <f t="shared" si="5"/>
        <v>0</v>
      </c>
      <c r="S11" s="145">
        <f t="shared" si="5"/>
        <v>0</v>
      </c>
      <c r="T11" s="145">
        <f t="shared" si="5"/>
        <v>0</v>
      </c>
      <c r="U11" s="145">
        <f t="shared" si="5"/>
        <v>0</v>
      </c>
      <c r="V11" s="145">
        <f t="shared" si="5"/>
        <v>0</v>
      </c>
      <c r="W11" s="145">
        <f t="shared" si="5"/>
        <v>0</v>
      </c>
      <c r="X11" s="145">
        <f t="shared" si="5"/>
        <v>0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3.9512195121951219</v>
      </c>
      <c r="H12" s="150"/>
      <c r="I12" s="149">
        <f t="shared" si="6"/>
        <v>0</v>
      </c>
      <c r="J12" s="149">
        <f t="shared" si="6"/>
        <v>0</v>
      </c>
      <c r="K12" s="149">
        <f t="shared" si="6"/>
        <v>0</v>
      </c>
      <c r="L12" s="149">
        <f t="shared" si="6"/>
        <v>0</v>
      </c>
      <c r="M12" s="149">
        <f t="shared" si="6"/>
        <v>0</v>
      </c>
      <c r="N12" s="149">
        <f t="shared" si="6"/>
        <v>0</v>
      </c>
      <c r="O12" s="149">
        <f t="shared" si="6"/>
        <v>0</v>
      </c>
      <c r="P12" s="149">
        <f t="shared" si="6"/>
        <v>0</v>
      </c>
      <c r="Q12" s="149">
        <f t="shared" si="6"/>
        <v>0</v>
      </c>
      <c r="R12" s="149">
        <f t="shared" si="6"/>
        <v>0</v>
      </c>
      <c r="S12" s="149">
        <f t="shared" si="6"/>
        <v>0</v>
      </c>
      <c r="T12" s="149">
        <f t="shared" si="6"/>
        <v>0</v>
      </c>
      <c r="U12" s="149">
        <f t="shared" si="6"/>
        <v>0</v>
      </c>
      <c r="V12" s="149">
        <f t="shared" si="6"/>
        <v>0</v>
      </c>
      <c r="W12" s="149">
        <f t="shared" si="6"/>
        <v>0</v>
      </c>
      <c r="X12" s="149">
        <f t="shared" si="6"/>
        <v>0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1.4">
      <c r="A14" s="121"/>
      <c r="B14" s="122" t="s">
        <v>157</v>
      </c>
      <c r="C14" s="123"/>
      <c r="D14" s="270" t="s">
        <v>33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271">
        <f>DashBoard!$AB7</f>
        <v>10</v>
      </c>
      <c r="H15" s="119"/>
      <c r="I15" s="271">
        <f>DashBoard!$AB9</f>
        <v>20</v>
      </c>
      <c r="J15" s="271">
        <f>DashBoard!$AB10</f>
        <v>20</v>
      </c>
      <c r="K15" s="271">
        <f>DashBoard!$AB11</f>
        <v>20</v>
      </c>
      <c r="L15" s="271">
        <f>DashBoard!$AB12</f>
        <v>20</v>
      </c>
      <c r="M15" s="271">
        <f>DashBoard!$AB13</f>
        <v>20</v>
      </c>
      <c r="N15" s="271">
        <f>DashBoard!$AB14</f>
        <v>20</v>
      </c>
      <c r="O15" s="271">
        <f>DashBoard!$AB15</f>
        <v>20</v>
      </c>
      <c r="P15" s="271">
        <f>DashBoard!$AB16</f>
        <v>30</v>
      </c>
      <c r="Q15" s="271">
        <f>DashBoard!$AB17</f>
        <v>30</v>
      </c>
      <c r="R15" s="271">
        <f>DashBoard!$AB18</f>
        <v>30</v>
      </c>
      <c r="S15" s="271">
        <f>DashBoard!$AB19</f>
        <v>30</v>
      </c>
      <c r="T15" s="271">
        <f>DashBoard!$AB20</f>
        <v>40</v>
      </c>
      <c r="U15" s="271">
        <f>DashBoard!$AB21</f>
        <v>40</v>
      </c>
      <c r="V15" s="271">
        <f>DashBoard!$AB22</f>
        <v>40</v>
      </c>
      <c r="W15" s="271">
        <f>DashBoard!$AB23</f>
        <v>40</v>
      </c>
      <c r="X15" s="271">
        <f>DashBoard!$AB24</f>
        <v>100</v>
      </c>
      <c r="Y15" s="120"/>
      <c r="Z15" s="293">
        <f>SUM(G15,I15:Y15)</f>
        <v>530</v>
      </c>
      <c r="AA15" s="297"/>
      <c r="AB15" s="272"/>
      <c r="AC15" s="336"/>
      <c r="AD15" s="325"/>
    </row>
    <row r="16" spans="1:31" ht="15.75" thickBot="1" x14ac:dyDescent="0.3">
      <c r="A16" s="273" t="s">
        <v>172</v>
      </c>
      <c r="B16" s="273" t="s">
        <v>161</v>
      </c>
      <c r="C16" s="273" t="s">
        <v>162</v>
      </c>
      <c r="D16" s="274" t="s">
        <v>163</v>
      </c>
      <c r="E16" s="275"/>
      <c r="F16" s="276">
        <v>1</v>
      </c>
      <c r="G16" s="277">
        <v>2</v>
      </c>
      <c r="H16" s="277">
        <v>3</v>
      </c>
      <c r="I16" s="277">
        <v>4</v>
      </c>
      <c r="J16" s="277">
        <v>5</v>
      </c>
      <c r="K16" s="277">
        <v>7</v>
      </c>
      <c r="L16" s="277">
        <v>7</v>
      </c>
      <c r="M16" s="277">
        <v>8</v>
      </c>
      <c r="N16" s="277">
        <v>9</v>
      </c>
      <c r="O16" s="277">
        <v>10</v>
      </c>
      <c r="P16" s="277">
        <v>11</v>
      </c>
      <c r="Q16" s="277">
        <v>12</v>
      </c>
      <c r="R16" s="277">
        <v>13</v>
      </c>
      <c r="S16" s="277">
        <v>14</v>
      </c>
      <c r="T16" s="277">
        <v>15</v>
      </c>
      <c r="U16" s="277">
        <v>16</v>
      </c>
      <c r="V16" s="277">
        <v>17</v>
      </c>
      <c r="W16" s="277">
        <v>18</v>
      </c>
      <c r="X16" s="277">
        <v>19</v>
      </c>
      <c r="Y16" s="278">
        <v>20</v>
      </c>
      <c r="Z16" s="279"/>
      <c r="AA16" s="279"/>
      <c r="AB16" s="280"/>
      <c r="AC16" s="279"/>
      <c r="AD16" s="326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/>
      <c r="H17" s="110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10"/>
      <c r="Z17" s="294">
        <f>SUM(G17,I17:X17)</f>
        <v>0</v>
      </c>
      <c r="AA17" s="298">
        <f>(Z17/$Z$15)*100</f>
        <v>0</v>
      </c>
      <c r="AB17" s="301" t="str">
        <f>RANK(AA17,AA$17:AA$122,0) &amp;"/"&amp; COUNTA($B$17:$B$122)</f>
        <v>42/49</v>
      </c>
      <c r="AC17" s="338" t="str">
        <f>IF(AA17&gt;60,"TB","B")</f>
        <v>B</v>
      </c>
      <c r="AD17" s="320" t="str">
        <f>IF(COUNTIF(F17:Y17,"")&gt;3,"Manque " &amp; COUNTIF(F17:Y17,"") - 3 &amp; " Cotes","RAS")</f>
        <v>Manque 17 Cotes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/>
      <c r="H18" s="110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0"/>
      <c r="Z18" s="295">
        <f t="shared" ref="Z18:Z81" si="7">SUM(G18,I18:X18)</f>
        <v>0</v>
      </c>
      <c r="AA18" s="298">
        <f t="shared" ref="AA18:AA81" si="8">(Z18/$Z$15)*100</f>
        <v>0</v>
      </c>
      <c r="AB18" s="301" t="str">
        <f t="shared" ref="AB18:AB81" si="9">RANK(AA18,AA$17:AA$122,0) &amp;"/"&amp; COUNTA($B$17:$B$122)</f>
        <v>42/49</v>
      </c>
      <c r="AC18" s="338" t="str">
        <f t="shared" ref="AC18:AC81" si="10">IF(AA18&gt;60,"TB","B")</f>
        <v>B</v>
      </c>
      <c r="AD18" s="321" t="str">
        <f t="shared" ref="AD18:AD81" si="11">IF(COUNTIF(F18:Y18,"")&gt;3,"Manque " &amp; COUNTIF(F18:Y18,"") - 3 &amp; " Cotes","RAS")</f>
        <v>Manque 17 Cotes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/>
      <c r="H19" s="110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0"/>
      <c r="Z19" s="295">
        <f t="shared" si="7"/>
        <v>0</v>
      </c>
      <c r="AA19" s="298">
        <f t="shared" si="8"/>
        <v>0</v>
      </c>
      <c r="AB19" s="301" t="str">
        <f t="shared" si="9"/>
        <v>42/49</v>
      </c>
      <c r="AC19" s="338" t="str">
        <f t="shared" si="10"/>
        <v>B</v>
      </c>
      <c r="AD19" s="321" t="str">
        <f t="shared" si="11"/>
        <v>Manque 17 Cotes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/>
      <c r="H20" s="110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0"/>
      <c r="Z20" s="295">
        <f t="shared" si="7"/>
        <v>0</v>
      </c>
      <c r="AA20" s="298">
        <f t="shared" si="8"/>
        <v>0</v>
      </c>
      <c r="AB20" s="301" t="str">
        <f t="shared" si="9"/>
        <v>42/49</v>
      </c>
      <c r="AC20" s="338" t="str">
        <f t="shared" si="10"/>
        <v>B</v>
      </c>
      <c r="AD20" s="321" t="str">
        <f t="shared" si="11"/>
        <v>Manque 17 Cotes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8</v>
      </c>
      <c r="H21" s="110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0"/>
      <c r="Z21" s="295">
        <f t="shared" si="7"/>
        <v>8</v>
      </c>
      <c r="AA21" s="298">
        <f t="shared" si="8"/>
        <v>1.5094339622641511</v>
      </c>
      <c r="AB21" s="301" t="str">
        <f t="shared" si="9"/>
        <v>2/49</v>
      </c>
      <c r="AC21" s="338" t="str">
        <f t="shared" si="10"/>
        <v>B</v>
      </c>
      <c r="AD21" s="321" t="str">
        <f>IF(COUNTIF(F21:Y21,"")&gt;3,"Manque " &amp; COUNTIF(F21:Y21,"") - 3 &amp; " Cotes","RAS")</f>
        <v>Manque 16 Cotes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2</v>
      </c>
      <c r="H22" s="110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0"/>
      <c r="Z22" s="295">
        <f t="shared" si="7"/>
        <v>2</v>
      </c>
      <c r="AA22" s="298">
        <f t="shared" si="8"/>
        <v>0.37735849056603776</v>
      </c>
      <c r="AB22" s="301" t="str">
        <f t="shared" si="9"/>
        <v>27/49</v>
      </c>
      <c r="AC22" s="338" t="str">
        <f t="shared" si="10"/>
        <v>B</v>
      </c>
      <c r="AD22" s="321" t="str">
        <f t="shared" si="11"/>
        <v>Manque 16 Cotes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2</v>
      </c>
      <c r="H23" s="110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0"/>
      <c r="Z23" s="295">
        <f t="shared" si="7"/>
        <v>2</v>
      </c>
      <c r="AA23" s="298">
        <f t="shared" si="8"/>
        <v>0.37735849056603776</v>
      </c>
      <c r="AB23" s="301" t="str">
        <f t="shared" si="9"/>
        <v>27/49</v>
      </c>
      <c r="AC23" s="338" t="str">
        <f t="shared" si="10"/>
        <v>B</v>
      </c>
      <c r="AD23" s="321" t="str">
        <f t="shared" si="11"/>
        <v>Manque 16 Cotes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5</v>
      </c>
      <c r="H24" s="110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0"/>
      <c r="Z24" s="295">
        <f t="shared" si="7"/>
        <v>5</v>
      </c>
      <c r="AA24" s="298">
        <f t="shared" si="8"/>
        <v>0.94339622641509435</v>
      </c>
      <c r="AB24" s="301" t="str">
        <f t="shared" si="9"/>
        <v>5/49</v>
      </c>
      <c r="AC24" s="338" t="str">
        <f t="shared" si="10"/>
        <v>B</v>
      </c>
      <c r="AD24" s="321" t="str">
        <f t="shared" si="11"/>
        <v>Manque 16 Cotes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/>
      <c r="H25" s="110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0"/>
      <c r="Z25" s="295">
        <f t="shared" si="7"/>
        <v>0</v>
      </c>
      <c r="AA25" s="298">
        <f t="shared" si="8"/>
        <v>0</v>
      </c>
      <c r="AB25" s="301" t="str">
        <f t="shared" si="9"/>
        <v>42/49</v>
      </c>
      <c r="AC25" s="338" t="str">
        <f t="shared" si="10"/>
        <v>B</v>
      </c>
      <c r="AD25" s="321" t="str">
        <f t="shared" si="11"/>
        <v>Manque 17 Cotes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5</v>
      </c>
      <c r="H26" s="110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0"/>
      <c r="Z26" s="295">
        <f t="shared" si="7"/>
        <v>5</v>
      </c>
      <c r="AA26" s="298">
        <f t="shared" si="8"/>
        <v>0.94339622641509435</v>
      </c>
      <c r="AB26" s="301" t="str">
        <f t="shared" si="9"/>
        <v>5/49</v>
      </c>
      <c r="AC26" s="338" t="str">
        <f t="shared" si="10"/>
        <v>B</v>
      </c>
      <c r="AD26" s="321" t="str">
        <f t="shared" si="11"/>
        <v>Manque 16 Cotes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1</v>
      </c>
      <c r="H27" s="110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0"/>
      <c r="Z27" s="295">
        <f t="shared" si="7"/>
        <v>1</v>
      </c>
      <c r="AA27" s="298">
        <f t="shared" si="8"/>
        <v>0.18867924528301888</v>
      </c>
      <c r="AB27" s="301" t="str">
        <f t="shared" si="9"/>
        <v>32/49</v>
      </c>
      <c r="AC27" s="338" t="str">
        <f t="shared" si="10"/>
        <v>B</v>
      </c>
      <c r="AD27" s="321" t="str">
        <f t="shared" si="11"/>
        <v>Manque 16 Cotes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/>
      <c r="H28" s="110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0"/>
      <c r="Z28" s="295">
        <f t="shared" si="7"/>
        <v>0</v>
      </c>
      <c r="AA28" s="298">
        <f t="shared" si="8"/>
        <v>0</v>
      </c>
      <c r="AB28" s="301" t="str">
        <f t="shared" si="9"/>
        <v>42/49</v>
      </c>
      <c r="AC28" s="338" t="str">
        <f t="shared" si="10"/>
        <v>B</v>
      </c>
      <c r="AD28" s="321" t="str">
        <f t="shared" si="11"/>
        <v>Manque 17 Cotes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5</v>
      </c>
      <c r="H29" s="110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0"/>
      <c r="Z29" s="295">
        <f t="shared" si="7"/>
        <v>5</v>
      </c>
      <c r="AA29" s="298">
        <f t="shared" si="8"/>
        <v>0.94339622641509435</v>
      </c>
      <c r="AB29" s="301" t="str">
        <f t="shared" si="9"/>
        <v>5/49</v>
      </c>
      <c r="AC29" s="338" t="str">
        <f t="shared" si="10"/>
        <v>B</v>
      </c>
      <c r="AD29" s="321" t="str">
        <f t="shared" si="11"/>
        <v>Manque 16 Cotes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5</v>
      </c>
      <c r="H30" s="110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0"/>
      <c r="Z30" s="295">
        <f t="shared" si="7"/>
        <v>5</v>
      </c>
      <c r="AA30" s="298">
        <f t="shared" si="8"/>
        <v>0.94339622641509435</v>
      </c>
      <c r="AB30" s="301" t="str">
        <f t="shared" si="9"/>
        <v>5/49</v>
      </c>
      <c r="AC30" s="338" t="str">
        <f t="shared" si="10"/>
        <v>B</v>
      </c>
      <c r="AD30" s="321" t="str">
        <f t="shared" si="11"/>
        <v>Manque 16 Cotes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1</v>
      </c>
      <c r="H31" s="110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0"/>
      <c r="Z31" s="295">
        <f t="shared" si="7"/>
        <v>1</v>
      </c>
      <c r="AA31" s="298">
        <f t="shared" si="8"/>
        <v>0.18867924528301888</v>
      </c>
      <c r="AB31" s="301" t="str">
        <f t="shared" si="9"/>
        <v>32/49</v>
      </c>
      <c r="AC31" s="338" t="str">
        <f t="shared" si="10"/>
        <v>B</v>
      </c>
      <c r="AD31" s="321" t="str">
        <f t="shared" si="11"/>
        <v>Manque 16 Cotes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9</v>
      </c>
      <c r="H32" s="110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0"/>
      <c r="Z32" s="295">
        <f t="shared" si="7"/>
        <v>9</v>
      </c>
      <c r="AA32" s="298">
        <f t="shared" si="8"/>
        <v>1.6981132075471699</v>
      </c>
      <c r="AB32" s="301" t="str">
        <f t="shared" si="9"/>
        <v>1/49</v>
      </c>
      <c r="AC32" s="338" t="str">
        <f t="shared" si="10"/>
        <v>B</v>
      </c>
      <c r="AD32" s="321" t="str">
        <f t="shared" si="11"/>
        <v>Manque 16 Cotes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5</v>
      </c>
      <c r="H33" s="110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0"/>
      <c r="Z33" s="295">
        <f t="shared" si="7"/>
        <v>5</v>
      </c>
      <c r="AA33" s="298">
        <f t="shared" si="8"/>
        <v>0.94339622641509435</v>
      </c>
      <c r="AB33" s="301" t="str">
        <f t="shared" si="9"/>
        <v>5/49</v>
      </c>
      <c r="AC33" s="338" t="str">
        <f t="shared" si="10"/>
        <v>B</v>
      </c>
      <c r="AD33" s="321" t="str">
        <f t="shared" si="11"/>
        <v>Manque 16 Cotes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/>
      <c r="H34" s="110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0"/>
      <c r="Z34" s="295">
        <f t="shared" si="7"/>
        <v>0</v>
      </c>
      <c r="AA34" s="298">
        <f t="shared" si="8"/>
        <v>0</v>
      </c>
      <c r="AB34" s="301" t="str">
        <f t="shared" si="9"/>
        <v>42/49</v>
      </c>
      <c r="AC34" s="338" t="str">
        <f t="shared" si="10"/>
        <v>B</v>
      </c>
      <c r="AD34" s="321" t="str">
        <f t="shared" si="11"/>
        <v>Manque 17 Cotes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1</v>
      </c>
      <c r="H35" s="110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0"/>
      <c r="Z35" s="295">
        <f t="shared" si="7"/>
        <v>1</v>
      </c>
      <c r="AA35" s="298">
        <f t="shared" si="8"/>
        <v>0.18867924528301888</v>
      </c>
      <c r="AB35" s="301" t="str">
        <f t="shared" si="9"/>
        <v>32/49</v>
      </c>
      <c r="AC35" s="338" t="str">
        <f t="shared" si="10"/>
        <v>B</v>
      </c>
      <c r="AD35" s="321" t="str">
        <f t="shared" si="11"/>
        <v>Manque 16 Cotes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8</v>
      </c>
      <c r="H36" s="110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0"/>
      <c r="Z36" s="295">
        <f t="shared" si="7"/>
        <v>8</v>
      </c>
      <c r="AA36" s="298">
        <f t="shared" si="8"/>
        <v>1.5094339622641511</v>
      </c>
      <c r="AB36" s="301" t="str">
        <f t="shared" si="9"/>
        <v>2/49</v>
      </c>
      <c r="AC36" s="338" t="str">
        <f t="shared" si="10"/>
        <v>B</v>
      </c>
      <c r="AD36" s="321" t="str">
        <f t="shared" si="11"/>
        <v>Manque 16 Cotes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1</v>
      </c>
      <c r="H37" s="110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0"/>
      <c r="Z37" s="295">
        <f t="shared" si="7"/>
        <v>1</v>
      </c>
      <c r="AA37" s="298">
        <f t="shared" si="8"/>
        <v>0.18867924528301888</v>
      </c>
      <c r="AB37" s="301" t="str">
        <f t="shared" si="9"/>
        <v>32/49</v>
      </c>
      <c r="AC37" s="338" t="str">
        <f t="shared" si="10"/>
        <v>B</v>
      </c>
      <c r="AD37" s="321" t="str">
        <f t="shared" si="11"/>
        <v>Manque 16 Cotes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5</v>
      </c>
      <c r="H38" s="110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0"/>
      <c r="Z38" s="295">
        <f t="shared" si="7"/>
        <v>5</v>
      </c>
      <c r="AA38" s="298">
        <f t="shared" si="8"/>
        <v>0.94339622641509435</v>
      </c>
      <c r="AB38" s="301" t="str">
        <f t="shared" si="9"/>
        <v>5/49</v>
      </c>
      <c r="AC38" s="338" t="str">
        <f t="shared" si="10"/>
        <v>B</v>
      </c>
      <c r="AD38" s="321" t="str">
        <f t="shared" si="11"/>
        <v>Manque 16 Cotes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5</v>
      </c>
      <c r="H39" s="110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0"/>
      <c r="Z39" s="295">
        <f t="shared" si="7"/>
        <v>5</v>
      </c>
      <c r="AA39" s="298">
        <f t="shared" si="8"/>
        <v>0.94339622641509435</v>
      </c>
      <c r="AB39" s="301" t="str">
        <f t="shared" si="9"/>
        <v>5/49</v>
      </c>
      <c r="AC39" s="338" t="str">
        <f t="shared" si="10"/>
        <v>B</v>
      </c>
      <c r="AD39" s="321" t="str">
        <f t="shared" si="11"/>
        <v>Manque 16 Cotes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5</v>
      </c>
      <c r="H40" s="110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0"/>
      <c r="Z40" s="295">
        <f t="shared" si="7"/>
        <v>5</v>
      </c>
      <c r="AA40" s="298">
        <f t="shared" si="8"/>
        <v>0.94339622641509435</v>
      </c>
      <c r="AB40" s="301" t="str">
        <f t="shared" si="9"/>
        <v>5/49</v>
      </c>
      <c r="AC40" s="338" t="str">
        <f t="shared" si="10"/>
        <v>B</v>
      </c>
      <c r="AD40" s="321" t="str">
        <f t="shared" si="11"/>
        <v>Manque 16 Cotes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1</v>
      </c>
      <c r="H41" s="110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0"/>
      <c r="Z41" s="295">
        <f t="shared" si="7"/>
        <v>1</v>
      </c>
      <c r="AA41" s="298">
        <f t="shared" si="8"/>
        <v>0.18867924528301888</v>
      </c>
      <c r="AB41" s="301" t="str">
        <f t="shared" si="9"/>
        <v>32/49</v>
      </c>
      <c r="AC41" s="338" t="str">
        <f t="shared" si="10"/>
        <v>B</v>
      </c>
      <c r="AD41" s="321" t="str">
        <f t="shared" si="11"/>
        <v>Manque 16 Cotes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5</v>
      </c>
      <c r="H42" s="110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0"/>
      <c r="Z42" s="295">
        <f t="shared" si="7"/>
        <v>5</v>
      </c>
      <c r="AA42" s="298">
        <f t="shared" si="8"/>
        <v>0.94339622641509435</v>
      </c>
      <c r="AB42" s="301" t="str">
        <f t="shared" si="9"/>
        <v>5/49</v>
      </c>
      <c r="AC42" s="338" t="str">
        <f t="shared" si="10"/>
        <v>B</v>
      </c>
      <c r="AD42" s="321" t="str">
        <f t="shared" si="11"/>
        <v>Manque 16 Cotes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1</v>
      </c>
      <c r="H43" s="110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0"/>
      <c r="Z43" s="295">
        <f t="shared" si="7"/>
        <v>1</v>
      </c>
      <c r="AA43" s="298">
        <f t="shared" si="8"/>
        <v>0.18867924528301888</v>
      </c>
      <c r="AB43" s="301" t="str">
        <f t="shared" si="9"/>
        <v>32/49</v>
      </c>
      <c r="AC43" s="338" t="str">
        <f t="shared" si="10"/>
        <v>B</v>
      </c>
      <c r="AD43" s="321" t="str">
        <f t="shared" si="11"/>
        <v>Manque 16 Cotes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5</v>
      </c>
      <c r="H44" s="110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0"/>
      <c r="Z44" s="295">
        <f t="shared" si="7"/>
        <v>5</v>
      </c>
      <c r="AA44" s="298">
        <f t="shared" si="8"/>
        <v>0.94339622641509435</v>
      </c>
      <c r="AB44" s="301" t="str">
        <f t="shared" si="9"/>
        <v>5/49</v>
      </c>
      <c r="AC44" s="338" t="str">
        <f t="shared" si="10"/>
        <v>B</v>
      </c>
      <c r="AD44" s="321" t="str">
        <f t="shared" si="11"/>
        <v>Manque 16 Cotes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5</v>
      </c>
      <c r="H45" s="110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0"/>
      <c r="Z45" s="295">
        <f t="shared" si="7"/>
        <v>5</v>
      </c>
      <c r="AA45" s="298">
        <f t="shared" si="8"/>
        <v>0.94339622641509435</v>
      </c>
      <c r="AB45" s="301" t="str">
        <f t="shared" si="9"/>
        <v>5/49</v>
      </c>
      <c r="AC45" s="338" t="str">
        <f t="shared" si="10"/>
        <v>B</v>
      </c>
      <c r="AD45" s="321" t="str">
        <f t="shared" si="11"/>
        <v>Manque 16 Cotes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5</v>
      </c>
      <c r="H46" s="110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0"/>
      <c r="Z46" s="295">
        <f t="shared" si="7"/>
        <v>5</v>
      </c>
      <c r="AA46" s="298">
        <f t="shared" si="8"/>
        <v>0.94339622641509435</v>
      </c>
      <c r="AB46" s="301" t="str">
        <f t="shared" si="9"/>
        <v>5/49</v>
      </c>
      <c r="AC46" s="338" t="str">
        <f t="shared" si="10"/>
        <v>B</v>
      </c>
      <c r="AD46" s="321" t="str">
        <f t="shared" si="11"/>
        <v>Manque 16 Cotes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1</v>
      </c>
      <c r="H47" s="110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0"/>
      <c r="Z47" s="295">
        <f t="shared" si="7"/>
        <v>1</v>
      </c>
      <c r="AA47" s="298">
        <f t="shared" si="8"/>
        <v>0.18867924528301888</v>
      </c>
      <c r="AB47" s="301" t="str">
        <f t="shared" si="9"/>
        <v>32/49</v>
      </c>
      <c r="AC47" s="338" t="str">
        <f t="shared" si="10"/>
        <v>B</v>
      </c>
      <c r="AD47" s="321" t="str">
        <f t="shared" si="11"/>
        <v>Manque 16 Cotes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1</v>
      </c>
      <c r="H48" s="110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0"/>
      <c r="Z48" s="295">
        <f t="shared" si="7"/>
        <v>1</v>
      </c>
      <c r="AA48" s="298">
        <f t="shared" si="8"/>
        <v>0.18867924528301888</v>
      </c>
      <c r="AB48" s="301" t="str">
        <f t="shared" si="9"/>
        <v>32/49</v>
      </c>
      <c r="AC48" s="338" t="str">
        <f t="shared" si="10"/>
        <v>B</v>
      </c>
      <c r="AD48" s="321" t="str">
        <f t="shared" si="11"/>
        <v>Manque 16 Cotes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5</v>
      </c>
      <c r="H49" s="110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0"/>
      <c r="Z49" s="295">
        <f t="shared" si="7"/>
        <v>5</v>
      </c>
      <c r="AA49" s="298">
        <f t="shared" si="8"/>
        <v>0.94339622641509435</v>
      </c>
      <c r="AB49" s="301" t="str">
        <f t="shared" si="9"/>
        <v>5/49</v>
      </c>
      <c r="AC49" s="338" t="str">
        <f t="shared" si="10"/>
        <v>B</v>
      </c>
      <c r="AD49" s="321" t="str">
        <f t="shared" si="11"/>
        <v>Manque 16 Cotes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5</v>
      </c>
      <c r="H50" s="110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0"/>
      <c r="Z50" s="295">
        <f t="shared" si="7"/>
        <v>5</v>
      </c>
      <c r="AA50" s="298">
        <f t="shared" si="8"/>
        <v>0.94339622641509435</v>
      </c>
      <c r="AB50" s="301" t="str">
        <f t="shared" si="9"/>
        <v>5/49</v>
      </c>
      <c r="AC50" s="338" t="str">
        <f t="shared" si="10"/>
        <v>B</v>
      </c>
      <c r="AD50" s="321" t="str">
        <f t="shared" si="11"/>
        <v>Manque 16 Cotes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5</v>
      </c>
      <c r="H51" s="110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0"/>
      <c r="Z51" s="295">
        <f t="shared" si="7"/>
        <v>5</v>
      </c>
      <c r="AA51" s="298">
        <f t="shared" si="8"/>
        <v>0.94339622641509435</v>
      </c>
      <c r="AB51" s="301" t="str">
        <f t="shared" si="9"/>
        <v>5/49</v>
      </c>
      <c r="AC51" s="338" t="str">
        <f t="shared" si="10"/>
        <v>B</v>
      </c>
      <c r="AD51" s="321" t="str">
        <f t="shared" si="11"/>
        <v>Manque 16 Cotes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5</v>
      </c>
      <c r="H52" s="110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0"/>
      <c r="Z52" s="295">
        <f t="shared" si="7"/>
        <v>5</v>
      </c>
      <c r="AA52" s="298">
        <f t="shared" si="8"/>
        <v>0.94339622641509435</v>
      </c>
      <c r="AB52" s="301" t="str">
        <f t="shared" si="9"/>
        <v>5/49</v>
      </c>
      <c r="AC52" s="338" t="str">
        <f t="shared" si="10"/>
        <v>B</v>
      </c>
      <c r="AD52" s="321" t="str">
        <f t="shared" si="11"/>
        <v>Manque 16 Cotes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5</v>
      </c>
      <c r="H53" s="110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0"/>
      <c r="Z53" s="295">
        <f t="shared" si="7"/>
        <v>5</v>
      </c>
      <c r="AA53" s="298">
        <f t="shared" si="8"/>
        <v>0.94339622641509435</v>
      </c>
      <c r="AB53" s="301" t="str">
        <f t="shared" si="9"/>
        <v>5/49</v>
      </c>
      <c r="AC53" s="338" t="str">
        <f t="shared" si="10"/>
        <v>B</v>
      </c>
      <c r="AD53" s="321" t="str">
        <f t="shared" si="11"/>
        <v>Manque 16 Cotes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5</v>
      </c>
      <c r="H54" s="110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0"/>
      <c r="Z54" s="295">
        <f t="shared" si="7"/>
        <v>5</v>
      </c>
      <c r="AA54" s="298">
        <f t="shared" si="8"/>
        <v>0.94339622641509435</v>
      </c>
      <c r="AB54" s="301" t="str">
        <f t="shared" si="9"/>
        <v>5/49</v>
      </c>
      <c r="AC54" s="338" t="str">
        <f t="shared" si="10"/>
        <v>B</v>
      </c>
      <c r="AD54" s="321" t="str">
        <f t="shared" si="11"/>
        <v>Manque 16 Cotes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5</v>
      </c>
      <c r="H55" s="110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0"/>
      <c r="Z55" s="295">
        <f t="shared" si="7"/>
        <v>5</v>
      </c>
      <c r="AA55" s="298">
        <f t="shared" si="8"/>
        <v>0.94339622641509435</v>
      </c>
      <c r="AB55" s="301" t="str">
        <f t="shared" si="9"/>
        <v>5/49</v>
      </c>
      <c r="AC55" s="338" t="str">
        <f t="shared" si="10"/>
        <v>B</v>
      </c>
      <c r="AD55" s="321" t="str">
        <f t="shared" si="11"/>
        <v>Manque 16 Cotes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5</v>
      </c>
      <c r="H56" s="110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0"/>
      <c r="Z56" s="295">
        <f t="shared" si="7"/>
        <v>5</v>
      </c>
      <c r="AA56" s="298">
        <f t="shared" si="8"/>
        <v>0.94339622641509435</v>
      </c>
      <c r="AB56" s="301" t="str">
        <f t="shared" si="9"/>
        <v>5/49</v>
      </c>
      <c r="AC56" s="338" t="str">
        <f t="shared" si="10"/>
        <v>B</v>
      </c>
      <c r="AD56" s="321" t="str">
        <f t="shared" si="11"/>
        <v>Manque 16 Cotes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2</v>
      </c>
      <c r="H57" s="110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0"/>
      <c r="Z57" s="295">
        <f t="shared" si="7"/>
        <v>2</v>
      </c>
      <c r="AA57" s="298">
        <f t="shared" si="8"/>
        <v>0.37735849056603776</v>
      </c>
      <c r="AB57" s="301" t="str">
        <f t="shared" si="9"/>
        <v>27/49</v>
      </c>
      <c r="AC57" s="338" t="str">
        <f t="shared" si="10"/>
        <v>B</v>
      </c>
      <c r="AD57" s="321" t="str">
        <f t="shared" si="11"/>
        <v>Manque 16 Cotes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2</v>
      </c>
      <c r="H58" s="110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0"/>
      <c r="Z58" s="295">
        <f t="shared" si="7"/>
        <v>2</v>
      </c>
      <c r="AA58" s="298">
        <f t="shared" si="8"/>
        <v>0.37735849056603776</v>
      </c>
      <c r="AB58" s="301" t="str">
        <f t="shared" si="9"/>
        <v>27/49</v>
      </c>
      <c r="AC58" s="338" t="str">
        <f t="shared" si="10"/>
        <v>B</v>
      </c>
      <c r="AD58" s="321" t="str">
        <f t="shared" si="11"/>
        <v>Manque 16 Cotes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5</v>
      </c>
      <c r="H59" s="110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0"/>
      <c r="Z59" s="295">
        <f t="shared" si="7"/>
        <v>5</v>
      </c>
      <c r="AA59" s="298">
        <f t="shared" si="8"/>
        <v>0.94339622641509435</v>
      </c>
      <c r="AB59" s="301" t="str">
        <f t="shared" si="9"/>
        <v>5/49</v>
      </c>
      <c r="AC59" s="338" t="str">
        <f t="shared" si="10"/>
        <v>B</v>
      </c>
      <c r="AD59" s="321" t="str">
        <f t="shared" si="11"/>
        <v>Manque 16 Cotes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1</v>
      </c>
      <c r="H60" s="110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0"/>
      <c r="Z60" s="295">
        <f t="shared" si="7"/>
        <v>1</v>
      </c>
      <c r="AA60" s="298">
        <f t="shared" si="8"/>
        <v>0.18867924528301888</v>
      </c>
      <c r="AB60" s="301" t="str">
        <f t="shared" si="9"/>
        <v>32/49</v>
      </c>
      <c r="AC60" s="338" t="str">
        <f t="shared" si="10"/>
        <v>B</v>
      </c>
      <c r="AD60" s="321" t="str">
        <f t="shared" si="11"/>
        <v>Manque 16 Cotes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1</v>
      </c>
      <c r="H61" s="110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0"/>
      <c r="Z61" s="295">
        <f t="shared" si="7"/>
        <v>1</v>
      </c>
      <c r="AA61" s="298">
        <f t="shared" si="8"/>
        <v>0.18867924528301888</v>
      </c>
      <c r="AB61" s="301" t="str">
        <f t="shared" si="9"/>
        <v>32/49</v>
      </c>
      <c r="AC61" s="338" t="str">
        <f t="shared" si="10"/>
        <v>B</v>
      </c>
      <c r="AD61" s="321" t="str">
        <f t="shared" si="11"/>
        <v>Manque 16 Cotes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2</v>
      </c>
      <c r="H62" s="110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0"/>
      <c r="Z62" s="295">
        <f t="shared" si="7"/>
        <v>2</v>
      </c>
      <c r="AA62" s="298">
        <f t="shared" si="8"/>
        <v>0.37735849056603776</v>
      </c>
      <c r="AB62" s="301" t="str">
        <f t="shared" si="9"/>
        <v>27/49</v>
      </c>
      <c r="AC62" s="338" t="str">
        <f t="shared" si="10"/>
        <v>B</v>
      </c>
      <c r="AD62" s="321" t="str">
        <f t="shared" si="11"/>
        <v>Manque 16 Cotes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5</v>
      </c>
      <c r="H63" s="110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0"/>
      <c r="Z63" s="295">
        <f t="shared" si="7"/>
        <v>5</v>
      </c>
      <c r="AA63" s="298">
        <f t="shared" si="8"/>
        <v>0.94339622641509435</v>
      </c>
      <c r="AB63" s="301" t="str">
        <f t="shared" si="9"/>
        <v>5/49</v>
      </c>
      <c r="AC63" s="338" t="str">
        <f t="shared" si="10"/>
        <v>B</v>
      </c>
      <c r="AD63" s="321" t="str">
        <f t="shared" si="11"/>
        <v>Manque 16 Cotes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7</v>
      </c>
      <c r="H64" s="110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0"/>
      <c r="Z64" s="295">
        <f t="shared" si="7"/>
        <v>7</v>
      </c>
      <c r="AA64" s="298">
        <f t="shared" si="8"/>
        <v>1.3207547169811322</v>
      </c>
      <c r="AB64" s="301" t="str">
        <f t="shared" si="9"/>
        <v>4/49</v>
      </c>
      <c r="AC64" s="338" t="str">
        <f t="shared" si="10"/>
        <v>B</v>
      </c>
      <c r="AD64" s="321" t="str">
        <f t="shared" si="11"/>
        <v>Manque 16 Cotes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/>
      <c r="H65" s="110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0"/>
      <c r="Z65" s="295">
        <f t="shared" si="7"/>
        <v>0</v>
      </c>
      <c r="AA65" s="298">
        <f t="shared" si="8"/>
        <v>0</v>
      </c>
      <c r="AB65" s="301" t="str">
        <f t="shared" si="9"/>
        <v>42/49</v>
      </c>
      <c r="AC65" s="338" t="str">
        <f t="shared" si="10"/>
        <v>B</v>
      </c>
      <c r="AD65" s="321" t="str">
        <f t="shared" si="11"/>
        <v>Manque 17 Cotes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8"/>
        <v>0</v>
      </c>
      <c r="AB66" s="301" t="str">
        <f t="shared" si="9"/>
        <v>42/49</v>
      </c>
      <c r="AC66" s="338" t="str">
        <f t="shared" si="10"/>
        <v>B</v>
      </c>
      <c r="AD66" s="321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8"/>
        <v>0</v>
      </c>
      <c r="AB67" s="301" t="str">
        <f t="shared" si="9"/>
        <v>42/49</v>
      </c>
      <c r="AC67" s="338" t="str">
        <f t="shared" si="10"/>
        <v>B</v>
      </c>
      <c r="AD67" s="321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8"/>
        <v>0</v>
      </c>
      <c r="AB68" s="301" t="str">
        <f t="shared" si="9"/>
        <v>42/49</v>
      </c>
      <c r="AC68" s="338" t="str">
        <f t="shared" si="10"/>
        <v>B</v>
      </c>
      <c r="AD68" s="321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8"/>
        <v>0</v>
      </c>
      <c r="AB69" s="301" t="str">
        <f t="shared" si="9"/>
        <v>42/49</v>
      </c>
      <c r="AC69" s="338" t="str">
        <f t="shared" si="10"/>
        <v>B</v>
      </c>
      <c r="AD69" s="321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8"/>
        <v>0</v>
      </c>
      <c r="AB70" s="301" t="str">
        <f t="shared" si="9"/>
        <v>42/49</v>
      </c>
      <c r="AC70" s="338" t="str">
        <f t="shared" si="10"/>
        <v>B</v>
      </c>
      <c r="AD70" s="321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8"/>
        <v>0</v>
      </c>
      <c r="AB71" s="301" t="str">
        <f t="shared" si="9"/>
        <v>42/49</v>
      </c>
      <c r="AC71" s="338" t="str">
        <f t="shared" si="10"/>
        <v>B</v>
      </c>
      <c r="AD71" s="321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8"/>
        <v>0</v>
      </c>
      <c r="AB72" s="301" t="str">
        <f t="shared" si="9"/>
        <v>42/49</v>
      </c>
      <c r="AC72" s="338" t="str">
        <f t="shared" si="10"/>
        <v>B</v>
      </c>
      <c r="AD72" s="321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8"/>
        <v>0</v>
      </c>
      <c r="AB73" s="301" t="str">
        <f t="shared" si="9"/>
        <v>42/49</v>
      </c>
      <c r="AC73" s="338" t="str">
        <f t="shared" si="10"/>
        <v>B</v>
      </c>
      <c r="AD73" s="321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8"/>
        <v>0</v>
      </c>
      <c r="AB74" s="301" t="str">
        <f t="shared" si="9"/>
        <v>42/49</v>
      </c>
      <c r="AC74" s="338" t="str">
        <f t="shared" si="10"/>
        <v>B</v>
      </c>
      <c r="AD74" s="321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8"/>
        <v>0</v>
      </c>
      <c r="AB75" s="301" t="str">
        <f t="shared" si="9"/>
        <v>42/49</v>
      </c>
      <c r="AC75" s="338" t="str">
        <f t="shared" si="10"/>
        <v>B</v>
      </c>
      <c r="AD75" s="321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8"/>
        <v>0</v>
      </c>
      <c r="AB76" s="301" t="str">
        <f t="shared" si="9"/>
        <v>42/49</v>
      </c>
      <c r="AC76" s="338" t="str">
        <f t="shared" si="10"/>
        <v>B</v>
      </c>
      <c r="AD76" s="321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8"/>
        <v>0</v>
      </c>
      <c r="AB77" s="301" t="str">
        <f t="shared" si="9"/>
        <v>42/49</v>
      </c>
      <c r="AC77" s="338" t="str">
        <f t="shared" si="10"/>
        <v>B</v>
      </c>
      <c r="AD77" s="321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8"/>
        <v>0</v>
      </c>
      <c r="AB78" s="301" t="str">
        <f t="shared" si="9"/>
        <v>42/49</v>
      </c>
      <c r="AC78" s="338" t="str">
        <f t="shared" si="10"/>
        <v>B</v>
      </c>
      <c r="AD78" s="321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8"/>
        <v>0</v>
      </c>
      <c r="AB79" s="301" t="str">
        <f t="shared" si="9"/>
        <v>42/49</v>
      </c>
      <c r="AC79" s="338" t="str">
        <f t="shared" si="10"/>
        <v>B</v>
      </c>
      <c r="AD79" s="321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8"/>
        <v>0</v>
      </c>
      <c r="AB80" s="301" t="str">
        <f t="shared" si="9"/>
        <v>42/49</v>
      </c>
      <c r="AC80" s="338" t="str">
        <f t="shared" si="10"/>
        <v>B</v>
      </c>
      <c r="AD80" s="321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8"/>
        <v>0</v>
      </c>
      <c r="AB81" s="301" t="str">
        <f t="shared" si="9"/>
        <v>42/49</v>
      </c>
      <c r="AC81" s="338" t="str">
        <f t="shared" si="10"/>
        <v>B</v>
      </c>
      <c r="AD81" s="321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2">SUM(G82,I82:X82)</f>
        <v>0</v>
      </c>
      <c r="AA82" s="298">
        <f t="shared" ref="AA82:AA122" si="13">(Z82/$Z$15)*100</f>
        <v>0</v>
      </c>
      <c r="AB82" s="301" t="str">
        <f t="shared" ref="AB82:AB122" si="14">RANK(AA82,AA$17:AA$122,0) &amp;"/"&amp; COUNTA($B$17:$B$122)</f>
        <v>42/49</v>
      </c>
      <c r="AC82" s="338" t="str">
        <f t="shared" ref="AC82:AC122" si="15">IF(AA82&gt;60,"TB","B")</f>
        <v>B</v>
      </c>
      <c r="AD82" s="321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2"/>
        <v>0</v>
      </c>
      <c r="AA83" s="298">
        <f t="shared" si="13"/>
        <v>0</v>
      </c>
      <c r="AB83" s="301" t="str">
        <f t="shared" si="14"/>
        <v>42/49</v>
      </c>
      <c r="AC83" s="338" t="str">
        <f t="shared" si="15"/>
        <v>B</v>
      </c>
      <c r="AD83" s="321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2"/>
        <v>0</v>
      </c>
      <c r="AA84" s="298">
        <f t="shared" si="13"/>
        <v>0</v>
      </c>
      <c r="AB84" s="301" t="str">
        <f t="shared" si="14"/>
        <v>42/49</v>
      </c>
      <c r="AC84" s="338" t="str">
        <f t="shared" si="15"/>
        <v>B</v>
      </c>
      <c r="AD84" s="321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2"/>
        <v>0</v>
      </c>
      <c r="AA85" s="298">
        <f t="shared" si="13"/>
        <v>0</v>
      </c>
      <c r="AB85" s="301" t="str">
        <f t="shared" si="14"/>
        <v>42/49</v>
      </c>
      <c r="AC85" s="338" t="str">
        <f t="shared" si="15"/>
        <v>B</v>
      </c>
      <c r="AD85" s="321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2"/>
        <v>0</v>
      </c>
      <c r="AA86" s="298">
        <f t="shared" si="13"/>
        <v>0</v>
      </c>
      <c r="AB86" s="301" t="str">
        <f t="shared" si="14"/>
        <v>42/49</v>
      </c>
      <c r="AC86" s="338" t="str">
        <f t="shared" si="15"/>
        <v>B</v>
      </c>
      <c r="AD86" s="321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2"/>
        <v>0</v>
      </c>
      <c r="AA87" s="298">
        <f t="shared" si="13"/>
        <v>0</v>
      </c>
      <c r="AB87" s="301" t="str">
        <f t="shared" si="14"/>
        <v>42/49</v>
      </c>
      <c r="AC87" s="338" t="str">
        <f t="shared" si="15"/>
        <v>B</v>
      </c>
      <c r="AD87" s="321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2"/>
        <v>0</v>
      </c>
      <c r="AA88" s="298">
        <f t="shared" si="13"/>
        <v>0</v>
      </c>
      <c r="AB88" s="301" t="str">
        <f t="shared" si="14"/>
        <v>42/49</v>
      </c>
      <c r="AC88" s="338" t="str">
        <f t="shared" si="15"/>
        <v>B</v>
      </c>
      <c r="AD88" s="321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2"/>
        <v>0</v>
      </c>
      <c r="AA89" s="298">
        <f t="shared" si="13"/>
        <v>0</v>
      </c>
      <c r="AB89" s="301" t="str">
        <f t="shared" si="14"/>
        <v>42/49</v>
      </c>
      <c r="AC89" s="338" t="str">
        <f t="shared" si="15"/>
        <v>B</v>
      </c>
      <c r="AD89" s="321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2"/>
        <v>0</v>
      </c>
      <c r="AA90" s="298">
        <f t="shared" si="13"/>
        <v>0</v>
      </c>
      <c r="AB90" s="301" t="str">
        <f t="shared" si="14"/>
        <v>42/49</v>
      </c>
      <c r="AC90" s="338" t="str">
        <f t="shared" si="15"/>
        <v>B</v>
      </c>
      <c r="AD90" s="321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2"/>
        <v>0</v>
      </c>
      <c r="AA91" s="298">
        <f t="shared" si="13"/>
        <v>0</v>
      </c>
      <c r="AB91" s="301" t="str">
        <f t="shared" si="14"/>
        <v>42/49</v>
      </c>
      <c r="AC91" s="338" t="str">
        <f t="shared" si="15"/>
        <v>B</v>
      </c>
      <c r="AD91" s="321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2"/>
        <v>0</v>
      </c>
      <c r="AA92" s="298">
        <f t="shared" si="13"/>
        <v>0</v>
      </c>
      <c r="AB92" s="301" t="str">
        <f t="shared" si="14"/>
        <v>42/49</v>
      </c>
      <c r="AC92" s="338" t="str">
        <f t="shared" si="15"/>
        <v>B</v>
      </c>
      <c r="AD92" s="321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2"/>
        <v>0</v>
      </c>
      <c r="AA93" s="298">
        <f t="shared" si="13"/>
        <v>0</v>
      </c>
      <c r="AB93" s="301" t="str">
        <f t="shared" si="14"/>
        <v>42/49</v>
      </c>
      <c r="AC93" s="338" t="str">
        <f t="shared" si="15"/>
        <v>B</v>
      </c>
      <c r="AD93" s="321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2"/>
        <v>0</v>
      </c>
      <c r="AA94" s="298">
        <f t="shared" si="13"/>
        <v>0</v>
      </c>
      <c r="AB94" s="301" t="str">
        <f t="shared" si="14"/>
        <v>42/49</v>
      </c>
      <c r="AC94" s="338" t="str">
        <f t="shared" si="15"/>
        <v>B</v>
      </c>
      <c r="AD94" s="321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2"/>
        <v>0</v>
      </c>
      <c r="AA95" s="298">
        <f t="shared" si="13"/>
        <v>0</v>
      </c>
      <c r="AB95" s="301" t="str">
        <f t="shared" si="14"/>
        <v>42/49</v>
      </c>
      <c r="AC95" s="338" t="str">
        <f t="shared" si="15"/>
        <v>B</v>
      </c>
      <c r="AD95" s="321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2"/>
        <v>0</v>
      </c>
      <c r="AA96" s="298">
        <f t="shared" si="13"/>
        <v>0</v>
      </c>
      <c r="AB96" s="301" t="str">
        <f t="shared" si="14"/>
        <v>42/49</v>
      </c>
      <c r="AC96" s="338" t="str">
        <f t="shared" si="15"/>
        <v>B</v>
      </c>
      <c r="AD96" s="321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2"/>
        <v>0</v>
      </c>
      <c r="AA97" s="298">
        <f t="shared" si="13"/>
        <v>0</v>
      </c>
      <c r="AB97" s="301" t="str">
        <f t="shared" si="14"/>
        <v>42/49</v>
      </c>
      <c r="AC97" s="338" t="str">
        <f t="shared" si="15"/>
        <v>B</v>
      </c>
      <c r="AD97" s="321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2"/>
        <v>0</v>
      </c>
      <c r="AA98" s="298">
        <f t="shared" si="13"/>
        <v>0</v>
      </c>
      <c r="AB98" s="301" t="str">
        <f t="shared" si="14"/>
        <v>42/49</v>
      </c>
      <c r="AC98" s="338" t="str">
        <f t="shared" si="15"/>
        <v>B</v>
      </c>
      <c r="AD98" s="321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2"/>
        <v>0</v>
      </c>
      <c r="AA99" s="298">
        <f t="shared" si="13"/>
        <v>0</v>
      </c>
      <c r="AB99" s="301" t="str">
        <f t="shared" si="14"/>
        <v>42/49</v>
      </c>
      <c r="AC99" s="338" t="str">
        <f t="shared" si="15"/>
        <v>B</v>
      </c>
      <c r="AD99" s="321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2"/>
        <v>0</v>
      </c>
      <c r="AA100" s="298">
        <f t="shared" si="13"/>
        <v>0</v>
      </c>
      <c r="AB100" s="301" t="str">
        <f t="shared" si="14"/>
        <v>42/49</v>
      </c>
      <c r="AC100" s="338" t="str">
        <f t="shared" si="15"/>
        <v>B</v>
      </c>
      <c r="AD100" s="321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2"/>
        <v>0</v>
      </c>
      <c r="AA101" s="298">
        <f t="shared" si="13"/>
        <v>0</v>
      </c>
      <c r="AB101" s="301" t="str">
        <f t="shared" si="14"/>
        <v>42/49</v>
      </c>
      <c r="AC101" s="338" t="str">
        <f t="shared" si="15"/>
        <v>B</v>
      </c>
      <c r="AD101" s="321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2"/>
        <v>0</v>
      </c>
      <c r="AA102" s="298">
        <f t="shared" si="13"/>
        <v>0</v>
      </c>
      <c r="AB102" s="301" t="str">
        <f t="shared" si="14"/>
        <v>42/49</v>
      </c>
      <c r="AC102" s="338" t="str">
        <f t="shared" si="15"/>
        <v>B</v>
      </c>
      <c r="AD102" s="321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2"/>
        <v>0</v>
      </c>
      <c r="AA103" s="298">
        <f t="shared" si="13"/>
        <v>0</v>
      </c>
      <c r="AB103" s="301" t="str">
        <f t="shared" si="14"/>
        <v>42/49</v>
      </c>
      <c r="AC103" s="338" t="str">
        <f t="shared" si="15"/>
        <v>B</v>
      </c>
      <c r="AD103" s="321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2"/>
        <v>0</v>
      </c>
      <c r="AA104" s="298">
        <f t="shared" si="13"/>
        <v>0</v>
      </c>
      <c r="AB104" s="301" t="str">
        <f t="shared" si="14"/>
        <v>42/49</v>
      </c>
      <c r="AC104" s="338" t="str">
        <f t="shared" si="15"/>
        <v>B</v>
      </c>
      <c r="AD104" s="321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2"/>
        <v>0</v>
      </c>
      <c r="AA105" s="298">
        <f t="shared" si="13"/>
        <v>0</v>
      </c>
      <c r="AB105" s="301" t="str">
        <f t="shared" si="14"/>
        <v>42/49</v>
      </c>
      <c r="AC105" s="338" t="str">
        <f t="shared" si="15"/>
        <v>B</v>
      </c>
      <c r="AD105" s="321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2"/>
        <v>0</v>
      </c>
      <c r="AA106" s="298">
        <f t="shared" si="13"/>
        <v>0</v>
      </c>
      <c r="AB106" s="301" t="str">
        <f t="shared" si="14"/>
        <v>42/49</v>
      </c>
      <c r="AC106" s="338" t="str">
        <f t="shared" si="15"/>
        <v>B</v>
      </c>
      <c r="AD106" s="321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2"/>
        <v>0</v>
      </c>
      <c r="AA107" s="298">
        <f t="shared" si="13"/>
        <v>0</v>
      </c>
      <c r="AB107" s="301" t="str">
        <f t="shared" si="14"/>
        <v>42/49</v>
      </c>
      <c r="AC107" s="338" t="str">
        <f t="shared" si="15"/>
        <v>B</v>
      </c>
      <c r="AD107" s="321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2"/>
        <v>0</v>
      </c>
      <c r="AA108" s="298">
        <f t="shared" si="13"/>
        <v>0</v>
      </c>
      <c r="AB108" s="301" t="str">
        <f t="shared" si="14"/>
        <v>42/49</v>
      </c>
      <c r="AC108" s="338" t="str">
        <f t="shared" si="15"/>
        <v>B</v>
      </c>
      <c r="AD108" s="321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2"/>
        <v>0</v>
      </c>
      <c r="AA109" s="298">
        <f t="shared" si="13"/>
        <v>0</v>
      </c>
      <c r="AB109" s="301" t="str">
        <f t="shared" si="14"/>
        <v>42/49</v>
      </c>
      <c r="AC109" s="338" t="str">
        <f t="shared" si="15"/>
        <v>B</v>
      </c>
      <c r="AD109" s="321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2"/>
        <v>0</v>
      </c>
      <c r="AA110" s="298">
        <f t="shared" si="13"/>
        <v>0</v>
      </c>
      <c r="AB110" s="301" t="str">
        <f t="shared" si="14"/>
        <v>42/49</v>
      </c>
      <c r="AC110" s="338" t="str">
        <f t="shared" si="15"/>
        <v>B</v>
      </c>
      <c r="AD110" s="321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2"/>
        <v>0</v>
      </c>
      <c r="AA111" s="298">
        <f t="shared" si="13"/>
        <v>0</v>
      </c>
      <c r="AB111" s="301" t="str">
        <f t="shared" si="14"/>
        <v>42/49</v>
      </c>
      <c r="AC111" s="338" t="str">
        <f t="shared" si="15"/>
        <v>B</v>
      </c>
      <c r="AD111" s="321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2"/>
        <v>0</v>
      </c>
      <c r="AA112" s="298">
        <f t="shared" si="13"/>
        <v>0</v>
      </c>
      <c r="AB112" s="301" t="str">
        <f t="shared" si="14"/>
        <v>42/49</v>
      </c>
      <c r="AC112" s="338" t="str">
        <f t="shared" si="15"/>
        <v>B</v>
      </c>
      <c r="AD112" s="321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2"/>
        <v>0</v>
      </c>
      <c r="AA113" s="298">
        <f t="shared" si="13"/>
        <v>0</v>
      </c>
      <c r="AB113" s="301" t="str">
        <f t="shared" si="14"/>
        <v>42/49</v>
      </c>
      <c r="AC113" s="338" t="str">
        <f t="shared" si="15"/>
        <v>B</v>
      </c>
      <c r="AD113" s="321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2"/>
        <v>0</v>
      </c>
      <c r="AA114" s="298">
        <f t="shared" si="13"/>
        <v>0</v>
      </c>
      <c r="AB114" s="301" t="str">
        <f t="shared" si="14"/>
        <v>42/49</v>
      </c>
      <c r="AC114" s="338" t="str">
        <f t="shared" si="15"/>
        <v>B</v>
      </c>
      <c r="AD114" s="321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2"/>
        <v>0</v>
      </c>
      <c r="AA115" s="298">
        <f t="shared" si="13"/>
        <v>0</v>
      </c>
      <c r="AB115" s="301" t="str">
        <f t="shared" si="14"/>
        <v>42/49</v>
      </c>
      <c r="AC115" s="338" t="str">
        <f t="shared" si="15"/>
        <v>B</v>
      </c>
      <c r="AD115" s="321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2"/>
        <v>0</v>
      </c>
      <c r="AA116" s="298">
        <f t="shared" si="13"/>
        <v>0</v>
      </c>
      <c r="AB116" s="301" t="str">
        <f t="shared" si="14"/>
        <v>42/49</v>
      </c>
      <c r="AC116" s="338" t="str">
        <f t="shared" si="15"/>
        <v>B</v>
      </c>
      <c r="AD116" s="321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2"/>
        <v>0</v>
      </c>
      <c r="AA117" s="298">
        <f t="shared" si="13"/>
        <v>0</v>
      </c>
      <c r="AB117" s="301" t="str">
        <f t="shared" si="14"/>
        <v>42/49</v>
      </c>
      <c r="AC117" s="338" t="str">
        <f t="shared" si="15"/>
        <v>B</v>
      </c>
      <c r="AD117" s="321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2"/>
        <v>0</v>
      </c>
      <c r="AA118" s="298">
        <f t="shared" si="13"/>
        <v>0</v>
      </c>
      <c r="AB118" s="301" t="str">
        <f t="shared" si="14"/>
        <v>42/49</v>
      </c>
      <c r="AC118" s="338" t="str">
        <f t="shared" si="15"/>
        <v>B</v>
      </c>
      <c r="AD118" s="321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2"/>
        <v>0</v>
      </c>
      <c r="AA119" s="298">
        <f t="shared" si="13"/>
        <v>0</v>
      </c>
      <c r="AB119" s="301" t="str">
        <f t="shared" si="14"/>
        <v>42/49</v>
      </c>
      <c r="AC119" s="338" t="str">
        <f t="shared" si="15"/>
        <v>B</v>
      </c>
      <c r="AD119" s="321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2"/>
        <v>0</v>
      </c>
      <c r="AA120" s="298">
        <f t="shared" si="13"/>
        <v>0</v>
      </c>
      <c r="AB120" s="301" t="str">
        <f t="shared" si="14"/>
        <v>42/49</v>
      </c>
      <c r="AC120" s="338" t="str">
        <f t="shared" si="15"/>
        <v>B</v>
      </c>
      <c r="AD120" s="321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2"/>
        <v>0</v>
      </c>
      <c r="AA121" s="298">
        <f t="shared" si="13"/>
        <v>0</v>
      </c>
      <c r="AB121" s="301" t="str">
        <f t="shared" si="14"/>
        <v>42/49</v>
      </c>
      <c r="AC121" s="338" t="str">
        <f t="shared" si="15"/>
        <v>B</v>
      </c>
      <c r="AD121" s="321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2"/>
        <v>0</v>
      </c>
      <c r="AA122" s="299">
        <f t="shared" si="13"/>
        <v>0</v>
      </c>
      <c r="AB122" s="301" t="str">
        <f t="shared" si="14"/>
        <v>42/49</v>
      </c>
      <c r="AC122" s="338" t="str">
        <f t="shared" si="15"/>
        <v>B</v>
      </c>
      <c r="AD122" s="322" t="str">
        <f t="shared" si="16"/>
        <v>Manque 17 Cotes</v>
      </c>
    </row>
  </sheetData>
  <sheetProtection selectLockedCells="1"/>
  <mergeCells count="1">
    <mergeCell ref="F13:Q13"/>
  </mergeCells>
  <conditionalFormatting sqref="G17:G122">
    <cfRule type="cellIs" dxfId="50" priority="13" operator="lessThan">
      <formula>10</formula>
    </cfRule>
  </conditionalFormatting>
  <conditionalFormatting sqref="I17:I122">
    <cfRule type="cellIs" dxfId="49" priority="12" operator="lessThan">
      <formula>10</formula>
    </cfRule>
  </conditionalFormatting>
  <conditionalFormatting sqref="J17:K122">
    <cfRule type="cellIs" dxfId="48" priority="3" operator="lessThan">
      <formula>5</formula>
    </cfRule>
  </conditionalFormatting>
  <conditionalFormatting sqref="L17:M122">
    <cfRule type="cellIs" dxfId="47" priority="11" operator="lessThan">
      <formula>15</formula>
    </cfRule>
  </conditionalFormatting>
  <conditionalFormatting sqref="N17:N122">
    <cfRule type="cellIs" dxfId="46" priority="10" operator="lessThan">
      <formula>5</formula>
    </cfRule>
  </conditionalFormatting>
  <conditionalFormatting sqref="O17:O122">
    <cfRule type="cellIs" dxfId="45" priority="9" operator="lessThan">
      <formula>15</formula>
    </cfRule>
  </conditionalFormatting>
  <conditionalFormatting sqref="P17:P122">
    <cfRule type="cellIs" dxfId="44" priority="8" operator="lessThan">
      <formula>25</formula>
    </cfRule>
  </conditionalFormatting>
  <conditionalFormatting sqref="Q17:S122">
    <cfRule type="cellIs" dxfId="43" priority="7" operator="lessThan">
      <formula>10</formula>
    </cfRule>
  </conditionalFormatting>
  <conditionalFormatting sqref="T17:T122">
    <cfRule type="cellIs" dxfId="42" priority="6" operator="lessThan">
      <formula>5</formula>
    </cfRule>
  </conditionalFormatting>
  <conditionalFormatting sqref="U17:V122">
    <cfRule type="cellIs" dxfId="41" priority="5" operator="lessThan">
      <formula>10</formula>
    </cfRule>
  </conditionalFormatting>
  <conditionalFormatting sqref="W17:X122">
    <cfRule type="cellIs" dxfId="40" priority="4" operator="lessThan">
      <formula>5</formula>
    </cfRule>
  </conditionalFormatting>
  <conditionalFormatting sqref="E17:E122">
    <cfRule type="containsText" dxfId="39" priority="1" operator="containsText" text="Abandon">
      <formula>NOT(ISERROR(SEARCH("Abandon",E17)))</formula>
    </cfRule>
    <cfRule type="expression" dxfId="38" priority="2">
      <formula>E17 = "Abandon"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B8925-D1E7-477E-B4BC-3EF7FFA0FC69}">
  <sheetPr codeName="Feuil1"/>
  <dimension ref="B1:AB110"/>
  <sheetViews>
    <sheetView showGridLines="0" tabSelected="1" topLeftCell="C2" zoomScale="90" zoomScaleNormal="90" workbookViewId="0">
      <selection activeCell="J21" sqref="J21"/>
    </sheetView>
  </sheetViews>
  <sheetFormatPr baseColWidth="10" defaultRowHeight="15" x14ac:dyDescent="0.25"/>
  <cols>
    <col min="1" max="1" width="3" customWidth="1"/>
    <col min="2" max="2" width="6.42578125" customWidth="1"/>
    <col min="3" max="3" width="12.7109375" customWidth="1"/>
    <col min="4" max="4" width="45.7109375" customWidth="1"/>
    <col min="5" max="5" width="6.5703125" customWidth="1"/>
    <col min="6" max="6" width="34" customWidth="1"/>
    <col min="7" max="7" width="5.28515625" customWidth="1"/>
    <col min="12" max="12" width="5.5703125" customWidth="1"/>
    <col min="17" max="17" width="6" customWidth="1"/>
    <col min="22" max="22" width="4.7109375" customWidth="1"/>
    <col min="23" max="23" width="5.140625" customWidth="1"/>
    <col min="24" max="24" width="41.5703125" customWidth="1"/>
    <col min="25" max="25" width="8.7109375" customWidth="1"/>
    <col min="26" max="26" width="8.28515625" customWidth="1"/>
    <col min="27" max="27" width="8.42578125" customWidth="1"/>
    <col min="28" max="28" width="8.7109375" customWidth="1"/>
  </cols>
  <sheetData>
    <row r="1" spans="2:28" ht="24" thickBot="1" x14ac:dyDescent="0.4">
      <c r="B1" s="80" t="str">
        <f>S7</f>
        <v>2ème HTS</v>
      </c>
      <c r="C1" s="81"/>
      <c r="D1" s="81"/>
    </row>
    <row r="2" spans="2:28" ht="24" thickBot="1" x14ac:dyDescent="0.4">
      <c r="B2" s="82" t="s">
        <v>153</v>
      </c>
      <c r="C2" s="83"/>
      <c r="D2" s="84"/>
      <c r="F2" s="246"/>
    </row>
    <row r="3" spans="2:28" ht="15.75" thickBot="1" x14ac:dyDescent="0.3">
      <c r="H3" s="405" t="s">
        <v>22</v>
      </c>
      <c r="I3" s="472" t="s">
        <v>180</v>
      </c>
      <c r="J3" s="473"/>
      <c r="K3" s="474"/>
    </row>
    <row r="4" spans="2:28" ht="15.75" thickBot="1" x14ac:dyDescent="0.3">
      <c r="B4" s="1"/>
      <c r="C4" s="3"/>
      <c r="D4" s="2"/>
      <c r="E4" s="2"/>
      <c r="F4" s="3"/>
      <c r="H4" s="71" t="s">
        <v>4</v>
      </c>
      <c r="I4" s="48"/>
      <c r="J4" s="49"/>
      <c r="K4" s="10"/>
      <c r="M4" s="62" t="s">
        <v>10</v>
      </c>
      <c r="N4" s="17"/>
      <c r="O4" s="17"/>
      <c r="P4" s="18"/>
      <c r="R4" s="62" t="s">
        <v>19</v>
      </c>
      <c r="S4" s="17"/>
      <c r="T4" s="17"/>
      <c r="U4" s="18"/>
      <c r="W4" s="1"/>
      <c r="X4" s="347" t="s">
        <v>22</v>
      </c>
      <c r="Y4" s="2"/>
      <c r="Z4" s="2"/>
      <c r="AA4" s="2"/>
      <c r="AB4" s="3"/>
    </row>
    <row r="5" spans="2:28" ht="15.75" thickBot="1" x14ac:dyDescent="0.3">
      <c r="B5" s="14"/>
      <c r="C5" s="16"/>
      <c r="F5" s="5"/>
      <c r="H5" s="402"/>
      <c r="I5" s="403"/>
      <c r="J5" s="403"/>
      <c r="K5" s="404"/>
      <c r="M5" s="54" t="s">
        <v>46</v>
      </c>
      <c r="N5" s="470" t="s">
        <v>30</v>
      </c>
      <c r="O5" s="470"/>
      <c r="P5" s="471"/>
      <c r="R5" s="54" t="s">
        <v>43</v>
      </c>
      <c r="S5" s="56" t="s">
        <v>25</v>
      </c>
      <c r="T5" s="55" t="s">
        <v>44</v>
      </c>
      <c r="U5" s="57" t="s">
        <v>45</v>
      </c>
      <c r="V5" s="38"/>
      <c r="W5" s="60" t="s">
        <v>29</v>
      </c>
      <c r="X5" s="343" t="s">
        <v>26</v>
      </c>
      <c r="Y5" s="344" t="s">
        <v>259</v>
      </c>
      <c r="Z5" s="60" t="s">
        <v>146</v>
      </c>
      <c r="AA5" s="60" t="s">
        <v>27</v>
      </c>
      <c r="AB5" s="60" t="s">
        <v>28</v>
      </c>
    </row>
    <row r="6" spans="2:28" ht="15.75" thickBot="1" x14ac:dyDescent="0.3">
      <c r="B6" s="58" t="s">
        <v>29</v>
      </c>
      <c r="C6" s="59" t="s">
        <v>20</v>
      </c>
      <c r="D6" s="60" t="s">
        <v>143</v>
      </c>
      <c r="E6" s="60" t="s">
        <v>2</v>
      </c>
      <c r="F6" s="61" t="s">
        <v>3</v>
      </c>
      <c r="H6" s="402"/>
      <c r="I6" s="403"/>
      <c r="J6" s="403"/>
      <c r="K6" s="404"/>
      <c r="M6" s="4"/>
      <c r="P6" s="5"/>
      <c r="R6" s="4"/>
      <c r="U6" s="5"/>
      <c r="W6" s="73">
        <v>1</v>
      </c>
      <c r="X6" s="341" t="s">
        <v>41</v>
      </c>
      <c r="Y6" s="77"/>
      <c r="Z6" s="340" t="s">
        <v>192</v>
      </c>
      <c r="AA6" s="11" t="s">
        <v>192</v>
      </c>
      <c r="AB6" s="342">
        <v>10</v>
      </c>
    </row>
    <row r="7" spans="2:28" ht="15.75" thickBot="1" x14ac:dyDescent="0.3">
      <c r="B7" s="64">
        <v>1</v>
      </c>
      <c r="C7" s="67" t="s">
        <v>53</v>
      </c>
      <c r="D7" s="7" t="s">
        <v>56</v>
      </c>
      <c r="E7" s="7" t="s">
        <v>255</v>
      </c>
      <c r="F7" s="11"/>
      <c r="H7" s="406" t="s">
        <v>23</v>
      </c>
      <c r="I7" s="72" t="s">
        <v>31</v>
      </c>
      <c r="J7" s="407" t="s">
        <v>145</v>
      </c>
      <c r="K7" s="75" t="s">
        <v>261</v>
      </c>
      <c r="M7" s="4"/>
      <c r="P7" s="5"/>
      <c r="R7" s="54" t="s">
        <v>151</v>
      </c>
      <c r="S7" s="57" t="s">
        <v>152</v>
      </c>
      <c r="U7" s="5"/>
      <c r="W7" s="74">
        <v>2</v>
      </c>
      <c r="X7" s="76" t="s">
        <v>174</v>
      </c>
      <c r="Y7" s="77"/>
      <c r="Z7" s="77"/>
      <c r="AA7" s="11"/>
      <c r="AB7" s="45">
        <v>10</v>
      </c>
    </row>
    <row r="8" spans="2:28" ht="15.75" thickBot="1" x14ac:dyDescent="0.3">
      <c r="B8" s="65">
        <v>2</v>
      </c>
      <c r="C8" s="68" t="s">
        <v>55</v>
      </c>
      <c r="D8" s="8" t="s">
        <v>58</v>
      </c>
      <c r="E8" s="7" t="s">
        <v>255</v>
      </c>
      <c r="F8" s="12"/>
      <c r="M8" s="14"/>
      <c r="N8" s="15"/>
      <c r="O8" s="15"/>
      <c r="P8" s="16"/>
      <c r="R8" s="4"/>
      <c r="U8" s="5"/>
      <c r="W8" s="73">
        <v>3</v>
      </c>
      <c r="X8" s="76" t="s">
        <v>175</v>
      </c>
      <c r="Y8" s="77"/>
      <c r="Z8" s="77" t="s">
        <v>192</v>
      </c>
      <c r="AA8" s="11" t="s">
        <v>192</v>
      </c>
      <c r="AB8" s="45">
        <v>10</v>
      </c>
    </row>
    <row r="9" spans="2:28" ht="15.75" thickBot="1" x14ac:dyDescent="0.3">
      <c r="B9" s="65">
        <v>3</v>
      </c>
      <c r="C9" s="68" t="s">
        <v>57</v>
      </c>
      <c r="D9" s="8" t="s">
        <v>60</v>
      </c>
      <c r="E9" s="7" t="s">
        <v>255</v>
      </c>
      <c r="F9" s="12"/>
      <c r="H9" s="62" t="s">
        <v>17</v>
      </c>
      <c r="I9" s="17"/>
      <c r="J9" s="17"/>
      <c r="K9" s="18"/>
      <c r="R9" s="14"/>
      <c r="S9" s="15"/>
      <c r="T9" s="15"/>
      <c r="U9" s="16"/>
      <c r="W9" s="74">
        <v>4</v>
      </c>
      <c r="X9" s="76" t="s">
        <v>40</v>
      </c>
      <c r="Y9" s="77"/>
      <c r="Z9" s="77"/>
      <c r="AA9" s="11"/>
      <c r="AB9" s="45">
        <v>20</v>
      </c>
    </row>
    <row r="10" spans="2:28" ht="15.75" thickBot="1" x14ac:dyDescent="0.3">
      <c r="B10" s="65">
        <v>4</v>
      </c>
      <c r="C10" s="68" t="s">
        <v>59</v>
      </c>
      <c r="D10" s="8" t="s">
        <v>62</v>
      </c>
      <c r="E10" s="7" t="s">
        <v>255</v>
      </c>
      <c r="F10" s="12"/>
      <c r="H10" s="4"/>
      <c r="K10" s="5"/>
      <c r="M10" s="62" t="s">
        <v>11</v>
      </c>
      <c r="N10" s="17"/>
      <c r="O10" s="17"/>
      <c r="P10" s="18"/>
      <c r="W10" s="73">
        <v>5</v>
      </c>
      <c r="X10" s="76" t="s">
        <v>176</v>
      </c>
      <c r="Y10" s="77"/>
      <c r="Z10" s="77"/>
      <c r="AA10" s="11"/>
      <c r="AB10" s="45">
        <v>20</v>
      </c>
    </row>
    <row r="11" spans="2:28" ht="15.75" thickBot="1" x14ac:dyDescent="0.3">
      <c r="B11" s="65">
        <v>5</v>
      </c>
      <c r="C11" s="68" t="s">
        <v>63</v>
      </c>
      <c r="D11" s="8" t="s">
        <v>66</v>
      </c>
      <c r="E11" s="7" t="s">
        <v>255</v>
      </c>
      <c r="F11" s="12"/>
      <c r="H11" s="4"/>
      <c r="K11" s="5"/>
      <c r="M11" s="4" t="s">
        <v>12</v>
      </c>
      <c r="O11" s="19">
        <v>50</v>
      </c>
      <c r="P11" s="5"/>
      <c r="W11" s="74">
        <v>6</v>
      </c>
      <c r="X11" s="76" t="s">
        <v>177</v>
      </c>
      <c r="Y11" s="77"/>
      <c r="Z11" s="77"/>
      <c r="AA11" s="11"/>
      <c r="AB11" s="45">
        <v>20</v>
      </c>
    </row>
    <row r="12" spans="2:28" ht="15.75" thickBot="1" x14ac:dyDescent="0.3">
      <c r="B12" s="65">
        <v>6</v>
      </c>
      <c r="C12" s="68" t="s">
        <v>65</v>
      </c>
      <c r="D12" s="8" t="s">
        <v>68</v>
      </c>
      <c r="E12" s="7" t="s">
        <v>255</v>
      </c>
      <c r="F12" s="12"/>
      <c r="H12" s="14"/>
      <c r="I12" s="15"/>
      <c r="J12" s="15"/>
      <c r="K12" s="16"/>
      <c r="M12" s="4"/>
      <c r="P12" s="5"/>
      <c r="W12" s="73">
        <v>7</v>
      </c>
      <c r="X12" s="76" t="s">
        <v>178</v>
      </c>
      <c r="Y12" s="77"/>
      <c r="Z12" s="77"/>
      <c r="AA12" s="11"/>
      <c r="AB12" s="45">
        <v>20</v>
      </c>
    </row>
    <row r="13" spans="2:28" ht="15.75" thickBot="1" x14ac:dyDescent="0.3">
      <c r="B13" s="65">
        <v>7</v>
      </c>
      <c r="C13" s="68" t="s">
        <v>69</v>
      </c>
      <c r="D13" s="8" t="s">
        <v>72</v>
      </c>
      <c r="E13" s="7" t="s">
        <v>255</v>
      </c>
      <c r="F13" s="12"/>
      <c r="M13" s="4"/>
      <c r="P13" s="5"/>
      <c r="W13" s="74">
        <v>8</v>
      </c>
      <c r="X13" s="76" t="s">
        <v>179</v>
      </c>
      <c r="Y13" s="77"/>
      <c r="Z13" s="77"/>
      <c r="AA13" s="11"/>
      <c r="AB13" s="45">
        <v>20</v>
      </c>
    </row>
    <row r="14" spans="2:28" ht="15.75" thickBot="1" x14ac:dyDescent="0.3">
      <c r="B14" s="65">
        <v>8</v>
      </c>
      <c r="C14" s="68" t="s">
        <v>71</v>
      </c>
      <c r="D14" s="8" t="s">
        <v>74</v>
      </c>
      <c r="E14" s="7" t="s">
        <v>149</v>
      </c>
      <c r="F14" s="12"/>
      <c r="H14" s="62" t="s">
        <v>5</v>
      </c>
      <c r="I14" s="17"/>
      <c r="J14" s="17"/>
      <c r="K14" s="18"/>
      <c r="M14" s="14"/>
      <c r="N14" s="15"/>
      <c r="O14" s="15"/>
      <c r="P14" s="16"/>
      <c r="W14" s="73">
        <v>9</v>
      </c>
      <c r="X14" s="76" t="s">
        <v>180</v>
      </c>
      <c r="Y14" s="77"/>
      <c r="Z14" s="77"/>
      <c r="AA14" s="11"/>
      <c r="AB14" s="45">
        <v>20</v>
      </c>
    </row>
    <row r="15" spans="2:28" ht="15.75" thickBot="1" x14ac:dyDescent="0.3">
      <c r="B15" s="65">
        <v>9</v>
      </c>
      <c r="C15" s="68" t="s">
        <v>73</v>
      </c>
      <c r="D15" s="8" t="s">
        <v>76</v>
      </c>
      <c r="E15" s="7" t="s">
        <v>149</v>
      </c>
      <c r="F15" s="12"/>
      <c r="H15" s="26" t="s">
        <v>20</v>
      </c>
      <c r="I15" s="461" t="s">
        <v>81</v>
      </c>
      <c r="J15" s="462"/>
      <c r="K15" s="463"/>
      <c r="W15" s="74">
        <v>10</v>
      </c>
      <c r="X15" s="76" t="s">
        <v>181</v>
      </c>
      <c r="Y15" s="77"/>
      <c r="Z15" s="77"/>
      <c r="AA15" s="11"/>
      <c r="AB15" s="45">
        <v>20</v>
      </c>
    </row>
    <row r="16" spans="2:28" ht="15.75" thickBot="1" x14ac:dyDescent="0.3">
      <c r="B16" s="65">
        <v>10</v>
      </c>
      <c r="C16" s="68" t="s">
        <v>75</v>
      </c>
      <c r="D16" s="8" t="s">
        <v>78</v>
      </c>
      <c r="E16" s="7" t="s">
        <v>255</v>
      </c>
      <c r="F16" s="12"/>
      <c r="H16" s="27" t="s">
        <v>21</v>
      </c>
      <c r="I16" s="464" t="str">
        <f>VLOOKUP($I$15,ELEV_ACTIF_LIST,2,FALSE)</f>
        <v>MAPENZI BASHIMBE</v>
      </c>
      <c r="J16" s="465"/>
      <c r="K16" s="466"/>
      <c r="M16" s="62" t="s">
        <v>13</v>
      </c>
      <c r="N16" s="17"/>
      <c r="O16" s="17"/>
      <c r="P16" s="18"/>
      <c r="W16" s="73">
        <v>11</v>
      </c>
      <c r="X16" s="76" t="s">
        <v>182</v>
      </c>
      <c r="Y16" s="77"/>
      <c r="Z16" s="77"/>
      <c r="AA16" s="11"/>
      <c r="AB16" s="45">
        <v>30</v>
      </c>
    </row>
    <row r="17" spans="2:28" ht="15.75" thickBot="1" x14ac:dyDescent="0.3">
      <c r="B17" s="65">
        <v>11</v>
      </c>
      <c r="C17" s="68" t="s">
        <v>77</v>
      </c>
      <c r="D17" s="8" t="s">
        <v>80</v>
      </c>
      <c r="E17" s="7" t="s">
        <v>255</v>
      </c>
      <c r="F17" s="12"/>
      <c r="H17" s="28" t="s">
        <v>22</v>
      </c>
      <c r="I17" s="467" t="s">
        <v>39</v>
      </c>
      <c r="J17" s="468"/>
      <c r="K17" s="469"/>
      <c r="M17" s="4" t="s">
        <v>14</v>
      </c>
      <c r="O17" s="19"/>
      <c r="P17" s="5"/>
      <c r="W17" s="74">
        <v>12</v>
      </c>
      <c r="X17" s="76" t="s">
        <v>183</v>
      </c>
      <c r="Y17" s="77"/>
      <c r="Z17" s="77"/>
      <c r="AA17" s="11"/>
      <c r="AB17" s="45">
        <v>30</v>
      </c>
    </row>
    <row r="18" spans="2:28" ht="15.75" thickBot="1" x14ac:dyDescent="0.3">
      <c r="B18" s="65">
        <v>12</v>
      </c>
      <c r="C18" s="68" t="s">
        <v>81</v>
      </c>
      <c r="D18" s="8" t="s">
        <v>84</v>
      </c>
      <c r="E18" s="7" t="s">
        <v>149</v>
      </c>
      <c r="F18" s="12"/>
      <c r="H18" s="29" t="s">
        <v>23</v>
      </c>
      <c r="I18" s="25" t="s">
        <v>31</v>
      </c>
      <c r="J18" s="54" t="s">
        <v>24</v>
      </c>
      <c r="K18" s="19"/>
      <c r="M18" s="4" t="s">
        <v>15</v>
      </c>
      <c r="O18" s="19"/>
      <c r="P18" s="5"/>
      <c r="W18" s="73">
        <v>13</v>
      </c>
      <c r="X18" s="76" t="s">
        <v>184</v>
      </c>
      <c r="Y18" s="77"/>
      <c r="Z18" s="77"/>
      <c r="AA18" s="11"/>
      <c r="AB18" s="45">
        <v>30</v>
      </c>
    </row>
    <row r="19" spans="2:28" ht="15.75" thickBot="1" x14ac:dyDescent="0.3">
      <c r="B19" s="65">
        <v>13</v>
      </c>
      <c r="C19" s="68" t="s">
        <v>83</v>
      </c>
      <c r="D19" s="8" t="s">
        <v>86</v>
      </c>
      <c r="E19" s="7" t="s">
        <v>149</v>
      </c>
      <c r="F19" s="12"/>
      <c r="H19" s="4"/>
      <c r="K19" s="5">
        <v>1</v>
      </c>
      <c r="M19" s="4" t="s">
        <v>16</v>
      </c>
      <c r="O19" s="19"/>
      <c r="P19" s="5"/>
      <c r="W19" s="74">
        <v>14</v>
      </c>
      <c r="X19" s="76" t="s">
        <v>185</v>
      </c>
      <c r="Y19" s="77"/>
      <c r="Z19" s="77"/>
      <c r="AA19" s="11"/>
      <c r="AB19" s="45">
        <v>30</v>
      </c>
    </row>
    <row r="20" spans="2:28" x14ac:dyDescent="0.25">
      <c r="B20" s="65">
        <v>14</v>
      </c>
      <c r="C20" s="68" t="s">
        <v>85</v>
      </c>
      <c r="D20" s="8" t="s">
        <v>88</v>
      </c>
      <c r="E20" s="7" t="s">
        <v>149</v>
      </c>
      <c r="F20" s="12"/>
      <c r="H20" s="4"/>
      <c r="K20" s="5"/>
      <c r="M20" s="4"/>
      <c r="P20" s="5"/>
      <c r="W20" s="73">
        <v>15</v>
      </c>
      <c r="X20" s="76" t="s">
        <v>186</v>
      </c>
      <c r="Y20" s="77"/>
      <c r="Z20" s="77"/>
      <c r="AA20" s="11"/>
      <c r="AB20" s="45">
        <v>40</v>
      </c>
    </row>
    <row r="21" spans="2:28" ht="15.75" thickBot="1" x14ac:dyDescent="0.3">
      <c r="B21" s="65">
        <v>15</v>
      </c>
      <c r="C21" s="68" t="s">
        <v>87</v>
      </c>
      <c r="D21" s="8" t="s">
        <v>90</v>
      </c>
      <c r="E21" s="7" t="s">
        <v>149</v>
      </c>
      <c r="F21" s="12"/>
      <c r="H21" s="14"/>
      <c r="I21" s="15"/>
      <c r="J21" s="15"/>
      <c r="K21" s="16"/>
      <c r="M21" s="4"/>
      <c r="P21" s="5"/>
      <c r="W21" s="74">
        <v>16</v>
      </c>
      <c r="X21" s="76" t="s">
        <v>187</v>
      </c>
      <c r="Y21" s="77"/>
      <c r="Z21" s="77"/>
      <c r="AA21" s="11"/>
      <c r="AB21" s="45">
        <v>40</v>
      </c>
    </row>
    <row r="22" spans="2:28" ht="15.75" thickBot="1" x14ac:dyDescent="0.3">
      <c r="B22" s="65">
        <v>16</v>
      </c>
      <c r="C22" s="68" t="s">
        <v>89</v>
      </c>
      <c r="D22" s="8" t="s">
        <v>92</v>
      </c>
      <c r="E22" s="7" t="s">
        <v>149</v>
      </c>
      <c r="F22" s="12"/>
      <c r="M22" s="4"/>
      <c r="P22" s="5"/>
      <c r="W22" s="73">
        <v>17</v>
      </c>
      <c r="X22" s="76" t="s">
        <v>188</v>
      </c>
      <c r="Y22" s="77"/>
      <c r="Z22" s="77"/>
      <c r="AA22" s="11"/>
      <c r="AB22" s="45">
        <v>40</v>
      </c>
    </row>
    <row r="23" spans="2:28" ht="15.75" thickBot="1" x14ac:dyDescent="0.3">
      <c r="B23" s="65">
        <v>17</v>
      </c>
      <c r="C23" s="68" t="s">
        <v>91</v>
      </c>
      <c r="D23" s="8" t="s">
        <v>94</v>
      </c>
      <c r="E23" s="7" t="s">
        <v>255</v>
      </c>
      <c r="F23" s="12"/>
      <c r="H23" s="1" t="s">
        <v>6</v>
      </c>
      <c r="I23" s="2"/>
      <c r="J23" s="2"/>
      <c r="K23" s="3"/>
      <c r="M23" s="14"/>
      <c r="N23" s="15"/>
      <c r="O23" s="15"/>
      <c r="P23" s="16"/>
      <c r="W23" s="74">
        <v>18</v>
      </c>
      <c r="X23" s="76" t="s">
        <v>189</v>
      </c>
      <c r="Y23" s="77"/>
      <c r="Z23" s="77"/>
      <c r="AA23" s="11"/>
      <c r="AB23" s="45">
        <v>40</v>
      </c>
    </row>
    <row r="24" spans="2:28" ht="15.75" thickBot="1" x14ac:dyDescent="0.3">
      <c r="B24" s="65">
        <v>18</v>
      </c>
      <c r="C24" s="68" t="s">
        <v>93</v>
      </c>
      <c r="D24" s="8" t="s">
        <v>96</v>
      </c>
      <c r="E24" s="7" t="s">
        <v>255</v>
      </c>
      <c r="F24" s="12"/>
      <c r="H24" s="63" t="s">
        <v>7</v>
      </c>
      <c r="I24" s="36"/>
      <c r="J24" s="37"/>
      <c r="K24" s="32" t="s">
        <v>9</v>
      </c>
      <c r="W24" s="46">
        <v>19</v>
      </c>
      <c r="X24" s="103" t="s">
        <v>190</v>
      </c>
      <c r="Y24" s="77"/>
      <c r="Z24" s="77"/>
      <c r="AA24" s="11"/>
      <c r="AB24" s="8">
        <v>100</v>
      </c>
    </row>
    <row r="25" spans="2:28" x14ac:dyDescent="0.25">
      <c r="B25" s="65">
        <v>19</v>
      </c>
      <c r="C25" s="68" t="s">
        <v>95</v>
      </c>
      <c r="D25" s="8" t="s">
        <v>98</v>
      </c>
      <c r="E25" s="7" t="s">
        <v>149</v>
      </c>
      <c r="F25" s="12"/>
      <c r="H25" s="33" t="s">
        <v>30</v>
      </c>
      <c r="I25" s="34"/>
      <c r="J25" s="35"/>
      <c r="K25" s="20" t="s">
        <v>8</v>
      </c>
      <c r="M25" s="62" t="s">
        <v>18</v>
      </c>
      <c r="N25" s="17"/>
      <c r="O25" s="17"/>
      <c r="P25" s="18"/>
      <c r="W25" s="47">
        <v>20</v>
      </c>
      <c r="X25" s="103" t="s">
        <v>191</v>
      </c>
      <c r="Y25" s="77"/>
      <c r="Z25" s="77" t="s">
        <v>192</v>
      </c>
      <c r="AA25" s="11" t="s">
        <v>192</v>
      </c>
      <c r="AB25" s="8"/>
    </row>
    <row r="26" spans="2:28" x14ac:dyDescent="0.25">
      <c r="B26" s="65">
        <v>20</v>
      </c>
      <c r="C26" s="68" t="s">
        <v>97</v>
      </c>
      <c r="D26" s="8" t="s">
        <v>100</v>
      </c>
      <c r="E26" s="7" t="s">
        <v>255</v>
      </c>
      <c r="F26" s="12"/>
      <c r="H26" s="22" t="s">
        <v>31</v>
      </c>
      <c r="I26" s="23"/>
      <c r="J26" s="31"/>
      <c r="K26" s="20" t="s">
        <v>8</v>
      </c>
      <c r="M26" s="4"/>
      <c r="P26" s="5"/>
      <c r="W26" s="46">
        <v>21</v>
      </c>
      <c r="X26" s="103"/>
      <c r="Y26" s="77"/>
      <c r="Z26" s="77"/>
      <c r="AA26" s="11"/>
      <c r="AB26" s="8"/>
    </row>
    <row r="27" spans="2:28" x14ac:dyDescent="0.25">
      <c r="B27" s="65">
        <v>21</v>
      </c>
      <c r="C27" s="68" t="s">
        <v>99</v>
      </c>
      <c r="D27" s="8" t="s">
        <v>102</v>
      </c>
      <c r="E27" s="7" t="s">
        <v>255</v>
      </c>
      <c r="F27" s="12"/>
      <c r="H27" s="22" t="s">
        <v>32</v>
      </c>
      <c r="I27" s="23"/>
      <c r="J27" s="31"/>
      <c r="K27" s="20" t="s">
        <v>8</v>
      </c>
      <c r="M27" s="4"/>
      <c r="P27" s="5"/>
      <c r="W27" s="47">
        <v>22</v>
      </c>
      <c r="X27" s="103"/>
      <c r="Y27" s="77"/>
      <c r="Z27" s="77"/>
      <c r="AA27" s="11"/>
      <c r="AB27" s="8"/>
    </row>
    <row r="28" spans="2:28" x14ac:dyDescent="0.25">
      <c r="B28" s="65">
        <v>22</v>
      </c>
      <c r="C28" s="68" t="s">
        <v>101</v>
      </c>
      <c r="D28" s="8" t="s">
        <v>104</v>
      </c>
      <c r="E28" s="7" t="s">
        <v>149</v>
      </c>
      <c r="F28" s="12"/>
      <c r="H28" s="22" t="s">
        <v>33</v>
      </c>
      <c r="I28" s="23"/>
      <c r="J28" s="31"/>
      <c r="K28" s="20" t="s">
        <v>8</v>
      </c>
      <c r="M28" s="4"/>
      <c r="P28" s="5"/>
      <c r="W28" s="46">
        <v>23</v>
      </c>
      <c r="X28" s="103"/>
      <c r="Y28" s="77"/>
      <c r="Z28" s="77"/>
      <c r="AA28" s="11"/>
      <c r="AB28" s="8"/>
    </row>
    <row r="29" spans="2:28" ht="15.75" thickBot="1" x14ac:dyDescent="0.3">
      <c r="B29" s="65">
        <v>23</v>
      </c>
      <c r="C29" s="68" t="s">
        <v>103</v>
      </c>
      <c r="D29" s="8" t="s">
        <v>106</v>
      </c>
      <c r="E29" s="7" t="s">
        <v>149</v>
      </c>
      <c r="F29" s="12"/>
      <c r="H29" s="22" t="s">
        <v>34</v>
      </c>
      <c r="I29" s="23"/>
      <c r="J29" s="31"/>
      <c r="K29" s="20" t="s">
        <v>8</v>
      </c>
      <c r="M29" s="4"/>
      <c r="P29" s="5"/>
      <c r="W29" s="345">
        <v>24</v>
      </c>
      <c r="X29" s="104"/>
      <c r="Y29" s="346"/>
      <c r="Z29" s="346"/>
      <c r="AA29" s="16"/>
      <c r="AB29" s="9"/>
    </row>
    <row r="30" spans="2:28" x14ac:dyDescent="0.25">
      <c r="B30" s="65">
        <v>24</v>
      </c>
      <c r="C30" s="68" t="s">
        <v>105</v>
      </c>
      <c r="D30" s="8" t="s">
        <v>108</v>
      </c>
      <c r="E30" s="7" t="s">
        <v>149</v>
      </c>
      <c r="F30" s="12"/>
      <c r="H30" s="22" t="s">
        <v>35</v>
      </c>
      <c r="I30" s="23"/>
      <c r="J30" s="31"/>
      <c r="K30" s="20" t="s">
        <v>8</v>
      </c>
      <c r="M30" s="4"/>
      <c r="P30" s="5"/>
    </row>
    <row r="31" spans="2:28" x14ac:dyDescent="0.25">
      <c r="B31" s="65">
        <v>25</v>
      </c>
      <c r="C31" s="68" t="s">
        <v>107</v>
      </c>
      <c r="D31" s="8" t="s">
        <v>110</v>
      </c>
      <c r="E31" s="7" t="s">
        <v>255</v>
      </c>
      <c r="F31" s="12"/>
      <c r="H31" s="22" t="s">
        <v>257</v>
      </c>
      <c r="I31" s="23"/>
      <c r="J31" s="31"/>
      <c r="K31" s="20" t="s">
        <v>8</v>
      </c>
      <c r="M31" s="4"/>
      <c r="P31" s="5"/>
    </row>
    <row r="32" spans="2:28" ht="15.75" thickBot="1" x14ac:dyDescent="0.3">
      <c r="B32" s="65">
        <v>26</v>
      </c>
      <c r="C32" s="68" t="s">
        <v>109</v>
      </c>
      <c r="D32" s="8" t="s">
        <v>112</v>
      </c>
      <c r="E32" s="7" t="s">
        <v>149</v>
      </c>
      <c r="F32" s="12"/>
      <c r="H32" s="24" t="s">
        <v>258</v>
      </c>
      <c r="I32" s="25"/>
      <c r="J32" s="30"/>
      <c r="K32" s="21" t="s">
        <v>8</v>
      </c>
      <c r="M32" s="14"/>
      <c r="N32" s="15"/>
      <c r="O32" s="15"/>
      <c r="P32" s="16"/>
    </row>
    <row r="33" spans="2:6" x14ac:dyDescent="0.25">
      <c r="B33" s="65">
        <v>27</v>
      </c>
      <c r="C33" s="68" t="s">
        <v>111</v>
      </c>
      <c r="D33" s="8" t="s">
        <v>114</v>
      </c>
      <c r="E33" s="7" t="s">
        <v>149</v>
      </c>
      <c r="F33" s="12"/>
    </row>
    <row r="34" spans="2:6" x14ac:dyDescent="0.25">
      <c r="B34" s="65">
        <v>28</v>
      </c>
      <c r="C34" s="68" t="s">
        <v>113</v>
      </c>
      <c r="D34" s="8" t="s">
        <v>116</v>
      </c>
      <c r="E34" s="7" t="s">
        <v>149</v>
      </c>
      <c r="F34" s="12"/>
    </row>
    <row r="35" spans="2:6" x14ac:dyDescent="0.25">
      <c r="B35" s="65">
        <v>29</v>
      </c>
      <c r="C35" s="68" t="s">
        <v>115</v>
      </c>
      <c r="D35" s="8" t="s">
        <v>118</v>
      </c>
      <c r="E35" s="7" t="s">
        <v>149</v>
      </c>
      <c r="F35" s="12"/>
    </row>
    <row r="36" spans="2:6" x14ac:dyDescent="0.25">
      <c r="B36" s="65">
        <v>30</v>
      </c>
      <c r="C36" s="68" t="s">
        <v>117</v>
      </c>
      <c r="D36" s="8" t="s">
        <v>120</v>
      </c>
      <c r="E36" s="7" t="s">
        <v>255</v>
      </c>
      <c r="F36" s="12"/>
    </row>
    <row r="37" spans="2:6" x14ac:dyDescent="0.25">
      <c r="B37" s="65">
        <v>31</v>
      </c>
      <c r="C37" s="68" t="s">
        <v>119</v>
      </c>
      <c r="D37" s="8" t="s">
        <v>122</v>
      </c>
      <c r="E37" s="7" t="s">
        <v>255</v>
      </c>
      <c r="F37" s="12"/>
    </row>
    <row r="38" spans="2:6" x14ac:dyDescent="0.25">
      <c r="B38" s="65">
        <v>32</v>
      </c>
      <c r="C38" s="68" t="s">
        <v>121</v>
      </c>
      <c r="D38" s="8" t="s">
        <v>124</v>
      </c>
      <c r="E38" s="7" t="s">
        <v>255</v>
      </c>
      <c r="F38" s="12"/>
    </row>
    <row r="39" spans="2:6" x14ac:dyDescent="0.25">
      <c r="B39" s="65">
        <v>33</v>
      </c>
      <c r="C39" s="68" t="s">
        <v>123</v>
      </c>
      <c r="D39" s="8" t="s">
        <v>126</v>
      </c>
      <c r="E39" s="7" t="s">
        <v>255</v>
      </c>
      <c r="F39" s="12"/>
    </row>
    <row r="40" spans="2:6" x14ac:dyDescent="0.25">
      <c r="B40" s="65">
        <v>34</v>
      </c>
      <c r="C40" s="68" t="s">
        <v>125</v>
      </c>
      <c r="D40" s="8" t="s">
        <v>128</v>
      </c>
      <c r="E40" s="7" t="s">
        <v>255</v>
      </c>
      <c r="F40" s="12"/>
    </row>
    <row r="41" spans="2:6" x14ac:dyDescent="0.25">
      <c r="B41" s="65">
        <v>35</v>
      </c>
      <c r="C41" s="68" t="s">
        <v>127</v>
      </c>
      <c r="D41" s="8" t="s">
        <v>130</v>
      </c>
      <c r="E41" s="7" t="s">
        <v>255</v>
      </c>
      <c r="F41" s="12"/>
    </row>
    <row r="42" spans="2:6" x14ac:dyDescent="0.25">
      <c r="B42" s="65">
        <v>36</v>
      </c>
      <c r="C42" s="68" t="s">
        <v>129</v>
      </c>
      <c r="D42" s="8" t="s">
        <v>132</v>
      </c>
      <c r="E42" s="7" t="s">
        <v>149</v>
      </c>
      <c r="F42" s="12"/>
    </row>
    <row r="43" spans="2:6" x14ac:dyDescent="0.25">
      <c r="B43" s="65">
        <v>37</v>
      </c>
      <c r="C43" s="68" t="s">
        <v>131</v>
      </c>
      <c r="D43" s="8" t="s">
        <v>134</v>
      </c>
      <c r="E43" s="7" t="s">
        <v>149</v>
      </c>
      <c r="F43" s="12"/>
    </row>
    <row r="44" spans="2:6" x14ac:dyDescent="0.25">
      <c r="B44" s="65">
        <v>38</v>
      </c>
      <c r="C44" s="68" t="s">
        <v>133</v>
      </c>
      <c r="D44" s="8" t="s">
        <v>136</v>
      </c>
      <c r="E44" s="7" t="s">
        <v>149</v>
      </c>
      <c r="F44" s="12"/>
    </row>
    <row r="45" spans="2:6" x14ac:dyDescent="0.25">
      <c r="B45" s="65">
        <v>39</v>
      </c>
      <c r="C45" s="68" t="s">
        <v>135</v>
      </c>
      <c r="D45" s="8" t="s">
        <v>138</v>
      </c>
      <c r="E45" s="7" t="s">
        <v>149</v>
      </c>
      <c r="F45" s="12"/>
    </row>
    <row r="46" spans="2:6" x14ac:dyDescent="0.25">
      <c r="B46" s="65">
        <v>40</v>
      </c>
      <c r="C46" s="68" t="s">
        <v>137</v>
      </c>
      <c r="D46" s="8" t="s">
        <v>139</v>
      </c>
      <c r="E46" s="7" t="s">
        <v>255</v>
      </c>
      <c r="F46" s="12"/>
    </row>
    <row r="47" spans="2:6" x14ac:dyDescent="0.25">
      <c r="B47" s="65">
        <v>41</v>
      </c>
      <c r="C47" s="68" t="s">
        <v>147</v>
      </c>
      <c r="D47" s="8" t="s">
        <v>148</v>
      </c>
      <c r="E47" s="7" t="s">
        <v>149</v>
      </c>
      <c r="F47" s="12" t="s">
        <v>150</v>
      </c>
    </row>
    <row r="48" spans="2:6" x14ac:dyDescent="0.25">
      <c r="B48" s="65">
        <v>42</v>
      </c>
      <c r="C48" s="68" t="s">
        <v>253</v>
      </c>
      <c r="D48" s="8" t="s">
        <v>254</v>
      </c>
      <c r="E48" s="7" t="s">
        <v>255</v>
      </c>
      <c r="F48" s="12" t="s">
        <v>256</v>
      </c>
    </row>
    <row r="49" spans="2:6" x14ac:dyDescent="0.25">
      <c r="B49" s="65"/>
      <c r="C49" s="68"/>
      <c r="D49" s="8"/>
      <c r="E49" s="7"/>
      <c r="F49" s="12"/>
    </row>
    <row r="50" spans="2:6" x14ac:dyDescent="0.25">
      <c r="B50" s="65"/>
      <c r="C50" s="68"/>
      <c r="D50" s="8"/>
      <c r="E50" s="7"/>
      <c r="F50" s="12"/>
    </row>
    <row r="51" spans="2:6" x14ac:dyDescent="0.25">
      <c r="B51" s="65"/>
      <c r="C51" s="68"/>
      <c r="D51" s="8"/>
      <c r="E51" s="7"/>
      <c r="F51" s="12"/>
    </row>
    <row r="52" spans="2:6" x14ac:dyDescent="0.25">
      <c r="B52" s="65"/>
      <c r="C52" s="68"/>
      <c r="D52" s="8"/>
      <c r="E52" s="7"/>
      <c r="F52" s="12"/>
    </row>
    <row r="53" spans="2:6" x14ac:dyDescent="0.25">
      <c r="B53" s="65"/>
      <c r="C53" s="68"/>
      <c r="D53" s="8"/>
      <c r="E53" s="7"/>
      <c r="F53" s="12"/>
    </row>
    <row r="54" spans="2:6" x14ac:dyDescent="0.25">
      <c r="B54" s="65"/>
      <c r="C54" s="68"/>
      <c r="D54" s="8"/>
      <c r="E54" s="7"/>
      <c r="F54" s="12"/>
    </row>
    <row r="55" spans="2:6" x14ac:dyDescent="0.25">
      <c r="B55" s="65"/>
      <c r="C55" s="68"/>
      <c r="D55" s="8"/>
      <c r="E55" s="7"/>
      <c r="F55" s="12"/>
    </row>
    <row r="56" spans="2:6" x14ac:dyDescent="0.25">
      <c r="B56" s="65"/>
      <c r="C56" s="68"/>
      <c r="D56" s="8"/>
      <c r="E56" s="7"/>
      <c r="F56" s="12"/>
    </row>
    <row r="57" spans="2:6" x14ac:dyDescent="0.25">
      <c r="B57" s="65"/>
      <c r="C57" s="69"/>
      <c r="D57" s="8"/>
      <c r="E57" s="7"/>
      <c r="F57" s="12"/>
    </row>
    <row r="58" spans="2:6" x14ac:dyDescent="0.25">
      <c r="B58" s="65"/>
      <c r="C58" s="69"/>
      <c r="D58" s="8"/>
      <c r="E58" s="7"/>
      <c r="F58" s="12"/>
    </row>
    <row r="59" spans="2:6" x14ac:dyDescent="0.25">
      <c r="B59" s="65"/>
      <c r="C59" s="69"/>
      <c r="D59" s="8"/>
      <c r="E59" s="7"/>
      <c r="F59" s="12"/>
    </row>
    <row r="60" spans="2:6" x14ac:dyDescent="0.25">
      <c r="B60" s="65"/>
      <c r="C60" s="69"/>
      <c r="D60" s="8"/>
      <c r="E60" s="7"/>
      <c r="F60" s="12"/>
    </row>
    <row r="61" spans="2:6" x14ac:dyDescent="0.25">
      <c r="B61" s="65"/>
      <c r="C61" s="69"/>
      <c r="D61" s="8"/>
      <c r="E61" s="7"/>
      <c r="F61" s="12"/>
    </row>
    <row r="62" spans="2:6" x14ac:dyDescent="0.25">
      <c r="B62" s="65"/>
      <c r="C62" s="69"/>
      <c r="D62" s="8"/>
      <c r="E62" s="7"/>
      <c r="F62" s="12"/>
    </row>
    <row r="63" spans="2:6" x14ac:dyDescent="0.25">
      <c r="B63" s="65"/>
      <c r="C63" s="69"/>
      <c r="D63" s="8"/>
      <c r="E63" s="7"/>
      <c r="F63" s="12"/>
    </row>
    <row r="64" spans="2:6" x14ac:dyDescent="0.25">
      <c r="B64" s="65"/>
      <c r="C64" s="69"/>
      <c r="D64" s="8"/>
      <c r="E64" s="7"/>
      <c r="F64" s="12"/>
    </row>
    <row r="65" spans="2:6" x14ac:dyDescent="0.25">
      <c r="B65" s="65"/>
      <c r="C65" s="69"/>
      <c r="D65" s="8"/>
      <c r="E65" s="7"/>
      <c r="F65" s="12"/>
    </row>
    <row r="66" spans="2:6" x14ac:dyDescent="0.25">
      <c r="B66" s="65"/>
      <c r="C66" s="69"/>
      <c r="D66" s="8"/>
      <c r="E66" s="7"/>
      <c r="F66" s="12"/>
    </row>
    <row r="67" spans="2:6" x14ac:dyDescent="0.25">
      <c r="B67" s="65"/>
      <c r="C67" s="69"/>
      <c r="D67" s="8"/>
      <c r="E67" s="7"/>
      <c r="F67" s="12"/>
    </row>
    <row r="68" spans="2:6" x14ac:dyDescent="0.25">
      <c r="B68" s="65"/>
      <c r="C68" s="69"/>
      <c r="D68" s="8"/>
      <c r="E68" s="7"/>
      <c r="F68" s="12"/>
    </row>
    <row r="69" spans="2:6" x14ac:dyDescent="0.25">
      <c r="B69" s="65"/>
      <c r="C69" s="69"/>
      <c r="D69" s="8"/>
      <c r="E69" s="7"/>
      <c r="F69" s="12"/>
    </row>
    <row r="70" spans="2:6" x14ac:dyDescent="0.25">
      <c r="B70" s="65"/>
      <c r="C70" s="69"/>
      <c r="D70" s="8"/>
      <c r="E70" s="7"/>
      <c r="F70" s="12"/>
    </row>
    <row r="71" spans="2:6" x14ac:dyDescent="0.25">
      <c r="B71" s="65"/>
      <c r="C71" s="69"/>
      <c r="D71" s="8"/>
      <c r="E71" s="7"/>
      <c r="F71" s="12"/>
    </row>
    <row r="72" spans="2:6" x14ac:dyDescent="0.25">
      <c r="B72" s="65"/>
      <c r="C72" s="69"/>
      <c r="D72" s="8"/>
      <c r="E72" s="7"/>
      <c r="F72" s="12"/>
    </row>
    <row r="73" spans="2:6" x14ac:dyDescent="0.25">
      <c r="B73" s="65"/>
      <c r="C73" s="69"/>
      <c r="D73" s="8"/>
      <c r="E73" s="7"/>
      <c r="F73" s="12"/>
    </row>
    <row r="74" spans="2:6" x14ac:dyDescent="0.25">
      <c r="B74" s="65"/>
      <c r="C74" s="69"/>
      <c r="D74" s="8"/>
      <c r="E74" s="7"/>
      <c r="F74" s="12"/>
    </row>
    <row r="75" spans="2:6" x14ac:dyDescent="0.25">
      <c r="B75" s="65"/>
      <c r="C75" s="69"/>
      <c r="D75" s="8"/>
      <c r="E75" s="7"/>
      <c r="F75" s="12"/>
    </row>
    <row r="76" spans="2:6" x14ac:dyDescent="0.25">
      <c r="B76" s="65"/>
      <c r="C76" s="69"/>
      <c r="D76" s="8"/>
      <c r="E76" s="7"/>
      <c r="F76" s="12"/>
    </row>
    <row r="77" spans="2:6" x14ac:dyDescent="0.25">
      <c r="B77" s="65"/>
      <c r="C77" s="69"/>
      <c r="D77" s="8"/>
      <c r="E77" s="7"/>
      <c r="F77" s="12"/>
    </row>
    <row r="78" spans="2:6" x14ac:dyDescent="0.25">
      <c r="B78" s="65"/>
      <c r="C78" s="69"/>
      <c r="D78" s="8"/>
      <c r="E78" s="7"/>
      <c r="F78" s="12"/>
    </row>
    <row r="79" spans="2:6" x14ac:dyDescent="0.25">
      <c r="B79" s="65"/>
      <c r="C79" s="69"/>
      <c r="D79" s="8"/>
      <c r="E79" s="7"/>
      <c r="F79" s="12"/>
    </row>
    <row r="80" spans="2:6" x14ac:dyDescent="0.25">
      <c r="B80" s="65"/>
      <c r="C80" s="69"/>
      <c r="D80" s="8"/>
      <c r="E80" s="7"/>
      <c r="F80" s="12"/>
    </row>
    <row r="81" spans="2:6" x14ac:dyDescent="0.25">
      <c r="B81" s="65"/>
      <c r="C81" s="69"/>
      <c r="D81" s="8"/>
      <c r="E81" s="7"/>
      <c r="F81" s="12"/>
    </row>
    <row r="82" spans="2:6" x14ac:dyDescent="0.25">
      <c r="B82" s="65"/>
      <c r="C82" s="69"/>
      <c r="D82" s="8"/>
      <c r="E82" s="7"/>
      <c r="F82" s="12"/>
    </row>
    <row r="83" spans="2:6" x14ac:dyDescent="0.25">
      <c r="B83" s="65"/>
      <c r="C83" s="69"/>
      <c r="D83" s="8"/>
      <c r="E83" s="7"/>
      <c r="F83" s="12"/>
    </row>
    <row r="84" spans="2:6" x14ac:dyDescent="0.25">
      <c r="B84" s="65"/>
      <c r="C84" s="69"/>
      <c r="D84" s="8"/>
      <c r="E84" s="7"/>
      <c r="F84" s="12"/>
    </row>
    <row r="85" spans="2:6" x14ac:dyDescent="0.25">
      <c r="B85" s="65"/>
      <c r="C85" s="69"/>
      <c r="D85" s="8"/>
      <c r="E85" s="7"/>
      <c r="F85" s="12"/>
    </row>
    <row r="86" spans="2:6" x14ac:dyDescent="0.25">
      <c r="B86" s="65"/>
      <c r="C86" s="69"/>
      <c r="D86" s="8"/>
      <c r="E86" s="7"/>
      <c r="F86" s="12"/>
    </row>
    <row r="87" spans="2:6" x14ac:dyDescent="0.25">
      <c r="B87" s="65"/>
      <c r="C87" s="69"/>
      <c r="D87" s="8"/>
      <c r="E87" s="7"/>
      <c r="F87" s="12"/>
    </row>
    <row r="88" spans="2:6" x14ac:dyDescent="0.25">
      <c r="B88" s="65"/>
      <c r="C88" s="69"/>
      <c r="D88" s="8"/>
      <c r="E88" s="7"/>
      <c r="F88" s="12"/>
    </row>
    <row r="89" spans="2:6" x14ac:dyDescent="0.25">
      <c r="B89" s="65"/>
      <c r="C89" s="69"/>
      <c r="D89" s="8"/>
      <c r="E89" s="7"/>
      <c r="F89" s="12"/>
    </row>
    <row r="90" spans="2:6" x14ac:dyDescent="0.25">
      <c r="B90" s="65"/>
      <c r="C90" s="69"/>
      <c r="D90" s="8"/>
      <c r="E90" s="7"/>
      <c r="F90" s="12"/>
    </row>
    <row r="91" spans="2:6" x14ac:dyDescent="0.25">
      <c r="B91" s="65"/>
      <c r="C91" s="69"/>
      <c r="D91" s="8"/>
      <c r="E91" s="7"/>
      <c r="F91" s="12"/>
    </row>
    <row r="92" spans="2:6" x14ac:dyDescent="0.25">
      <c r="B92" s="65"/>
      <c r="C92" s="69"/>
      <c r="D92" s="8"/>
      <c r="E92" s="7"/>
      <c r="F92" s="12"/>
    </row>
    <row r="93" spans="2:6" x14ac:dyDescent="0.25">
      <c r="B93" s="65"/>
      <c r="C93" s="69"/>
      <c r="D93" s="8"/>
      <c r="E93" s="7"/>
      <c r="F93" s="12"/>
    </row>
    <row r="94" spans="2:6" x14ac:dyDescent="0.25">
      <c r="B94" s="65"/>
      <c r="C94" s="69"/>
      <c r="D94" s="8"/>
      <c r="E94" s="7"/>
      <c r="F94" s="12"/>
    </row>
    <row r="95" spans="2:6" x14ac:dyDescent="0.25">
      <c r="B95" s="65"/>
      <c r="C95" s="69"/>
      <c r="D95" s="8"/>
      <c r="E95" s="7"/>
      <c r="F95" s="12"/>
    </row>
    <row r="96" spans="2:6" x14ac:dyDescent="0.25">
      <c r="B96" s="65"/>
      <c r="C96" s="69"/>
      <c r="D96" s="8"/>
      <c r="E96" s="7"/>
      <c r="F96" s="12"/>
    </row>
    <row r="97" spans="2:6" x14ac:dyDescent="0.25">
      <c r="B97" s="65"/>
      <c r="C97" s="69"/>
      <c r="D97" s="8"/>
      <c r="E97" s="7"/>
      <c r="F97" s="12"/>
    </row>
    <row r="98" spans="2:6" x14ac:dyDescent="0.25">
      <c r="B98" s="65"/>
      <c r="C98" s="69"/>
      <c r="D98" s="8"/>
      <c r="E98" s="7"/>
      <c r="F98" s="12"/>
    </row>
    <row r="99" spans="2:6" x14ac:dyDescent="0.25">
      <c r="B99" s="65"/>
      <c r="C99" s="69"/>
      <c r="D99" s="8"/>
      <c r="E99" s="7"/>
      <c r="F99" s="12"/>
    </row>
    <row r="100" spans="2:6" x14ac:dyDescent="0.25">
      <c r="B100" s="65"/>
      <c r="C100" s="69"/>
      <c r="D100" s="8"/>
      <c r="E100" s="7"/>
      <c r="F100" s="12"/>
    </row>
    <row r="101" spans="2:6" x14ac:dyDescent="0.25">
      <c r="B101" s="65"/>
      <c r="C101" s="69"/>
      <c r="D101" s="8"/>
      <c r="E101" s="7"/>
      <c r="F101" s="12"/>
    </row>
    <row r="102" spans="2:6" x14ac:dyDescent="0.25">
      <c r="B102" s="65"/>
      <c r="C102" s="69"/>
      <c r="D102" s="8"/>
      <c r="E102" s="7"/>
      <c r="F102" s="12"/>
    </row>
    <row r="103" spans="2:6" x14ac:dyDescent="0.25">
      <c r="B103" s="65"/>
      <c r="C103" s="69"/>
      <c r="D103" s="8"/>
      <c r="E103" s="7"/>
      <c r="F103" s="12"/>
    </row>
    <row r="104" spans="2:6" x14ac:dyDescent="0.25">
      <c r="B104" s="65"/>
      <c r="C104" s="69"/>
      <c r="D104" s="8"/>
      <c r="E104" s="7"/>
      <c r="F104" s="12"/>
    </row>
    <row r="105" spans="2:6" x14ac:dyDescent="0.25">
      <c r="B105" s="65"/>
      <c r="C105" s="69"/>
      <c r="D105" s="8"/>
      <c r="E105" s="7"/>
      <c r="F105" s="12"/>
    </row>
    <row r="106" spans="2:6" x14ac:dyDescent="0.25">
      <c r="B106" s="65"/>
      <c r="C106" s="69"/>
      <c r="D106" s="8"/>
      <c r="E106" s="7"/>
      <c r="F106" s="12"/>
    </row>
    <row r="107" spans="2:6" x14ac:dyDescent="0.25">
      <c r="B107" s="65"/>
      <c r="C107" s="69"/>
      <c r="D107" s="8"/>
      <c r="E107" s="7"/>
      <c r="F107" s="12"/>
    </row>
    <row r="108" spans="2:6" x14ac:dyDescent="0.25">
      <c r="B108" s="65"/>
      <c r="C108" s="69"/>
      <c r="D108" s="8"/>
      <c r="E108" s="7"/>
      <c r="F108" s="12"/>
    </row>
    <row r="109" spans="2:6" x14ac:dyDescent="0.25">
      <c r="B109" s="65"/>
      <c r="C109" s="69"/>
      <c r="D109" s="8"/>
      <c r="E109" s="7"/>
      <c r="F109" s="12"/>
    </row>
    <row r="110" spans="2:6" ht="15.75" thickBot="1" x14ac:dyDescent="0.3">
      <c r="B110" s="66"/>
      <c r="C110" s="70"/>
      <c r="D110" s="9"/>
      <c r="E110" s="7"/>
      <c r="F110" s="13"/>
    </row>
  </sheetData>
  <sheetProtection selectLockedCells="1"/>
  <autoFilter ref="B6:F110" xr:uid="{946B8925-D1E7-477E-B4BC-3EF7FFA0FC69}">
    <sortState xmlns:xlrd2="http://schemas.microsoft.com/office/spreadsheetml/2017/richdata2" ref="B7:F110">
      <sortCondition ref="C6:C110"/>
    </sortState>
  </autoFilter>
  <mergeCells count="5">
    <mergeCell ref="I15:K15"/>
    <mergeCell ref="I16:K16"/>
    <mergeCell ref="I17:K17"/>
    <mergeCell ref="N5:P5"/>
    <mergeCell ref="I3:K3"/>
  </mergeCells>
  <phoneticPr fontId="2" type="noConversion"/>
  <conditionalFormatting sqref="C7:F110">
    <cfRule type="expression" dxfId="37" priority="4">
      <formula>C7=$I$15</formula>
    </cfRule>
  </conditionalFormatting>
  <conditionalFormatting sqref="D7:F110">
    <cfRule type="expression" dxfId="36" priority="3">
      <formula>C7=$I$15</formula>
    </cfRule>
  </conditionalFormatting>
  <conditionalFormatting sqref="E7:E110">
    <cfRule type="expression" dxfId="35" priority="2">
      <formula>C7=$I$15</formula>
    </cfRule>
  </conditionalFormatting>
  <conditionalFormatting sqref="F7:F110">
    <cfRule type="expression" dxfId="34" priority="1">
      <formula>C7=$I$15</formula>
    </cfRule>
  </conditionalFormatting>
  <dataValidations count="8">
    <dataValidation type="list" allowBlank="1" showInputMessage="1" showErrorMessage="1" sqref="K25:K32" xr:uid="{72BF8146-A0A9-4C0E-9427-DFB4A835207B}">
      <formula1>"Oui, Nom"</formula1>
    </dataValidation>
    <dataValidation type="list" allowBlank="1" showInputMessage="1" showErrorMessage="1" sqref="E7:E110" xr:uid="{E9A5ECD0-16FE-449B-A0D2-D3697C69BE32}">
      <formula1>"M,F"</formula1>
    </dataValidation>
    <dataValidation type="list" allowBlank="1" showInputMessage="1" showErrorMessage="1" sqref="I18 I7" xr:uid="{3B58F49E-AACA-4381-ABA1-8C246C93EE52}">
      <formula1>$H$25:$H$30</formula1>
    </dataValidation>
    <dataValidation type="list" allowBlank="1" showInputMessage="1" showErrorMessage="1" sqref="I17:K17 I3:K3" xr:uid="{2489AC6D-E3FF-4DC0-81E4-4B612B98F100}">
      <formula1>$X$6:$X$29</formula1>
    </dataValidation>
    <dataValidation type="list" allowBlank="1" showInputMessage="1" showErrorMessage="1" sqref="N5:P5" xr:uid="{33AAE679-D936-470A-9FD0-DB6CDCF88283}">
      <formula1>$H$25:$H$32</formula1>
    </dataValidation>
    <dataValidation type="list" allowBlank="1" showInputMessage="1" showErrorMessage="1" sqref="Y6:AA29" xr:uid="{583C55D9-2090-4405-BF30-FBE5BDBC90B7}">
      <formula1>"Oui,Non"</formula1>
    </dataValidation>
    <dataValidation type="list" allowBlank="1" showInputMessage="1" showErrorMessage="1" sqref="K7" xr:uid="{B605085B-4C73-43FB-B904-E3C457D95666}">
      <formula1>"Ajouter,Remplacer"</formula1>
    </dataValidation>
    <dataValidation type="list" allowBlank="1" showInputMessage="1" showErrorMessage="1" sqref="I15:K15" xr:uid="{BA11B96C-4A0F-441C-83EC-179CDD6D43A8}">
      <formula1>LIST_MAT_ACTIFS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erEtMatriculer">
                <anchor moveWithCells="1" sizeWithCells="1">
                  <from>
                    <xdr:col>5</xdr:col>
                    <xdr:colOff>1066800</xdr:colOff>
                    <xdr:row>3</xdr:row>
                    <xdr:rowOff>66675</xdr:rowOff>
                  </from>
                  <to>
                    <xdr:col>5</xdr:col>
                    <xdr:colOff>2133600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d_eleve">
                <anchor moveWithCells="1" sizeWithCells="1">
                  <from>
                    <xdr:col>3</xdr:col>
                    <xdr:colOff>3038475</xdr:colOff>
                    <xdr:row>3</xdr:row>
                    <xdr:rowOff>76200</xdr:rowOff>
                  </from>
                  <to>
                    <xdr:col>5</xdr:col>
                    <xdr:colOff>971550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942975</xdr:colOff>
                    <xdr:row>3</xdr:row>
                    <xdr:rowOff>76200</xdr:rowOff>
                  </from>
                  <to>
                    <xdr:col>3</xdr:col>
                    <xdr:colOff>1724025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importer_cotes_sur_fiche_sigle_file">
                <anchor moveWithCells="1" sizeWithCells="1">
                  <from>
                    <xdr:col>8</xdr:col>
                    <xdr:colOff>161925</xdr:colOff>
                    <xdr:row>4</xdr:row>
                    <xdr:rowOff>57150</xdr:rowOff>
                  </from>
                  <to>
                    <xdr:col>9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eleCotes">
                <anchor moveWithCells="1" sizeWithCells="1">
                  <from>
                    <xdr:col>7</xdr:col>
                    <xdr:colOff>28575</xdr:colOff>
                    <xdr:row>4</xdr:row>
                    <xdr:rowOff>57150</xdr:rowOff>
                  </from>
                  <to>
                    <xdr:col>8</xdr:col>
                    <xdr:colOff>95250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8</xdr:col>
                    <xdr:colOff>542925</xdr:colOff>
                    <xdr:row>18</xdr:row>
                    <xdr:rowOff>66675</xdr:rowOff>
                  </from>
                  <to>
                    <xdr:col>10</xdr:col>
                    <xdr:colOff>714375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7</xdr:col>
                    <xdr:colOff>57150</xdr:colOff>
                    <xdr:row>18</xdr:row>
                    <xdr:rowOff>47625</xdr:rowOff>
                  </from>
                  <to>
                    <xdr:col>7</xdr:col>
                    <xdr:colOff>419100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7</xdr:col>
                    <xdr:colOff>485775</xdr:colOff>
                    <xdr:row>18</xdr:row>
                    <xdr:rowOff>47625</xdr:rowOff>
                  </from>
                  <to>
                    <xdr:col>8</xdr:col>
                    <xdr:colOff>85725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palmares_periode">
                <anchor moveWithCells="1" sizeWithCells="1">
                  <from>
                    <xdr:col>12</xdr:col>
                    <xdr:colOff>38100</xdr:colOff>
                    <xdr:row>5</xdr:row>
                    <xdr:rowOff>19050</xdr:rowOff>
                  </from>
                  <to>
                    <xdr:col>13</xdr:col>
                    <xdr:colOff>590550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>
                <anchor moveWithCells="1" sizeWithCells="1">
                  <from>
                    <xdr:col>12</xdr:col>
                    <xdr:colOff>638175</xdr:colOff>
                    <xdr:row>11</xdr:row>
                    <xdr:rowOff>133350</xdr:rowOff>
                  </from>
                  <to>
                    <xdr:col>15</xdr:col>
                    <xdr:colOff>695325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>
                <anchor moveWithCells="1" sizeWithCells="1">
                  <from>
                    <xdr:col>12</xdr:col>
                    <xdr:colOff>619125</xdr:colOff>
                    <xdr:row>21</xdr:row>
                    <xdr:rowOff>85725</xdr:rowOff>
                  </from>
                  <to>
                    <xdr:col>15</xdr:col>
                    <xdr:colOff>676275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5" name="Button 16">
              <controlPr defaultSize="0" print="0" autoFill="0" autoPict="0">
                <anchor moveWithCells="1" sizeWithCells="1">
                  <from>
                    <xdr:col>8</xdr:col>
                    <xdr:colOff>523875</xdr:colOff>
                    <xdr:row>9</xdr:row>
                    <xdr:rowOff>66675</xdr:rowOff>
                  </from>
                  <to>
                    <xdr:col>10</xdr:col>
                    <xdr:colOff>695325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6" name="Button 17">
              <controlPr defaultSize="0" print="0" autoFill="0" autoPict="0">
                <anchor moveWithCells="1" sizeWithCells="1">
                  <from>
                    <xdr:col>7</xdr:col>
                    <xdr:colOff>28575</xdr:colOff>
                    <xdr:row>9</xdr:row>
                    <xdr:rowOff>76200</xdr:rowOff>
                  </from>
                  <to>
                    <xdr:col>8</xdr:col>
                    <xdr:colOff>438150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Bouton18_Cliquer">
                <anchor moveWithCells="1" sizeWithCells="1">
                  <from>
                    <xdr:col>12</xdr:col>
                    <xdr:colOff>342900</xdr:colOff>
                    <xdr:row>25</xdr:row>
                    <xdr:rowOff>85725</xdr:rowOff>
                  </from>
                  <to>
                    <xdr:col>13</xdr:col>
                    <xdr:colOff>85725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Button 19">
              <controlPr defaultSize="0" print="0" autoFill="0" autoPict="0">
                <anchor moveWithCells="1" sizeWithCells="1">
                  <from>
                    <xdr:col>13</xdr:col>
                    <xdr:colOff>171450</xdr:colOff>
                    <xdr:row>25</xdr:row>
                    <xdr:rowOff>85725</xdr:rowOff>
                  </from>
                  <to>
                    <xdr:col>13</xdr:col>
                    <xdr:colOff>676275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9" name="Button 20">
              <controlPr defaultSize="0" print="0" autoFill="0" autoPict="0">
                <anchor moveWithCells="1" sizeWithCells="1">
                  <from>
                    <xdr:col>13</xdr:col>
                    <xdr:colOff>752475</xdr:colOff>
                    <xdr:row>25</xdr:row>
                    <xdr:rowOff>85725</xdr:rowOff>
                  </from>
                  <to>
                    <xdr:col>14</xdr:col>
                    <xdr:colOff>495300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0" name="Button 21">
              <controlPr defaultSize="0" print="0" autoFill="0" autoPict="0">
                <anchor moveWithCells="1" sizeWithCells="1">
                  <from>
                    <xdr:col>14</xdr:col>
                    <xdr:colOff>600075</xdr:colOff>
                    <xdr:row>25</xdr:row>
                    <xdr:rowOff>85725</xdr:rowOff>
                  </from>
                  <to>
                    <xdr:col>15</xdr:col>
                    <xdr:colOff>342900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1" name="Button 22">
              <controlPr defaultSize="0" print="0" autoFill="0" autoPict="0">
                <anchor moveWithCells="1" sizeWithCells="1">
                  <from>
                    <xdr:col>12</xdr:col>
                    <xdr:colOff>342900</xdr:colOff>
                    <xdr:row>27</xdr:row>
                    <xdr:rowOff>47625</xdr:rowOff>
                  </from>
                  <to>
                    <xdr:col>13</xdr:col>
                    <xdr:colOff>85725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2" name="Button 23">
              <controlPr defaultSize="0" print="0" autoFill="0" autoPict="0">
                <anchor moveWithCells="1" sizeWithCells="1">
                  <from>
                    <xdr:col>13</xdr:col>
                    <xdr:colOff>171450</xdr:colOff>
                    <xdr:row>27</xdr:row>
                    <xdr:rowOff>47625</xdr:rowOff>
                  </from>
                  <to>
                    <xdr:col>13</xdr:col>
                    <xdr:colOff>676275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3" name="Button 24">
              <controlPr defaultSize="0" print="0" autoFill="0" autoPict="0">
                <anchor moveWithCells="1" sizeWithCells="1">
                  <from>
                    <xdr:col>13</xdr:col>
                    <xdr:colOff>752475</xdr:colOff>
                    <xdr:row>27</xdr:row>
                    <xdr:rowOff>47625</xdr:rowOff>
                  </from>
                  <to>
                    <xdr:col>14</xdr:col>
                    <xdr:colOff>495300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4" name="Button 25">
              <controlPr defaultSize="0" print="0" autoFill="0" autoPict="0">
                <anchor moveWithCells="1" sizeWithCells="1">
                  <from>
                    <xdr:col>14</xdr:col>
                    <xdr:colOff>600075</xdr:colOff>
                    <xdr:row>27</xdr:row>
                    <xdr:rowOff>47625</xdr:rowOff>
                  </from>
                  <to>
                    <xdr:col>15</xdr:col>
                    <xdr:colOff>342900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Button 30">
              <controlPr defaultSize="0" print="0" autoFill="0" autoPict="0">
                <anchor moveWithCells="1" sizeWithCells="1">
                  <from>
                    <xdr:col>12</xdr:col>
                    <xdr:colOff>342900</xdr:colOff>
                    <xdr:row>29</xdr:row>
                    <xdr:rowOff>47625</xdr:rowOff>
                  </from>
                  <to>
                    <xdr:col>13</xdr:col>
                    <xdr:colOff>85725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Button 31">
              <controlPr defaultSize="0" print="0" autoFill="0" autoPict="0">
                <anchor moveWithCells="1" sizeWithCells="1">
                  <from>
                    <xdr:col>13</xdr:col>
                    <xdr:colOff>171450</xdr:colOff>
                    <xdr:row>29</xdr:row>
                    <xdr:rowOff>38100</xdr:rowOff>
                  </from>
                  <to>
                    <xdr:col>13</xdr:col>
                    <xdr:colOff>676275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Button 32">
              <controlPr defaultSize="0" print="0" autoFill="0" autoPict="0">
                <anchor moveWithCells="1" sizeWithCells="1">
                  <from>
                    <xdr:col>14</xdr:col>
                    <xdr:colOff>19050</xdr:colOff>
                    <xdr:row>29</xdr:row>
                    <xdr:rowOff>28575</xdr:rowOff>
                  </from>
                  <to>
                    <xdr:col>15</xdr:col>
                    <xdr:colOff>371475</xdr:colOff>
                    <xdr:row>30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8" name="Button 35">
              <controlPr defaultSize="0" print="0" autoFill="0" autoPict="0" macro="[0]!GenererArchiveEtPDF">
                <anchor moveWithCells="1" sizeWithCells="1">
                  <from>
                    <xdr:col>17</xdr:col>
                    <xdr:colOff>180975</xdr:colOff>
                    <xdr:row>7</xdr:row>
                    <xdr:rowOff>85725</xdr:rowOff>
                  </from>
                  <to>
                    <xdr:col>20</xdr:col>
                    <xdr:colOff>571500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9" name="Button 36">
              <controlPr defaultSize="0" print="0" autoFill="0" autoPict="0" macro="[0]!CreerFicheAvecDonnees">
                <anchor moveWithCells="1" sizeWithCells="1">
                  <from>
                    <xdr:col>3</xdr:col>
                    <xdr:colOff>276225</xdr:colOff>
                    <xdr:row>3</xdr:row>
                    <xdr:rowOff>76200</xdr:rowOff>
                  </from>
                  <to>
                    <xdr:col>3</xdr:col>
                    <xdr:colOff>876300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0" name="Button 37">
              <controlPr defaultSize="0" print="0" autoFill="0" autoPict="0" macro="[0]!actuealiser_list_dash">
                <anchor moveWithCells="1" sizeWithCells="1">
                  <from>
                    <xdr:col>1</xdr:col>
                    <xdr:colOff>76200</xdr:colOff>
                    <xdr:row>3</xdr:row>
                    <xdr:rowOff>66675</xdr:rowOff>
                  </from>
                  <to>
                    <xdr:col>2</xdr:col>
                    <xdr:colOff>714375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Button 38">
              <controlPr defaultSize="0" print="0" autoFill="0" autoPict="0" macro="[0]!initialiser_fiche_periodes_data">
                <anchor moveWithCells="1" sizeWithCells="1">
                  <from>
                    <xdr:col>5</xdr:col>
                    <xdr:colOff>1228725</xdr:colOff>
                    <xdr:row>1</xdr:row>
                    <xdr:rowOff>38100</xdr:rowOff>
                  </from>
                  <to>
                    <xdr:col>5</xdr:col>
                    <xdr:colOff>2190750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2" name="Button 40">
              <controlPr defaultSize="0" print="0" autoFill="0" autoPict="0" macro="[0]!actualiser_tout">
                <anchor moveWithCells="1" sizeWithCells="1">
                  <from>
                    <xdr:col>5</xdr:col>
                    <xdr:colOff>28575</xdr:colOff>
                    <xdr:row>0</xdr:row>
                    <xdr:rowOff>295275</xdr:rowOff>
                  </from>
                  <to>
                    <xdr:col>5</xdr:col>
                    <xdr:colOff>1123950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3" name="Button 41">
              <controlPr defaultSize="0" print="0" autoFill="0" autoPict="0" macro="[0]!insertion_cotes_automatique_miltifier">
                <anchor moveWithCells="1" sizeWithCells="1">
                  <from>
                    <xdr:col>9</xdr:col>
                    <xdr:colOff>628650</xdr:colOff>
                    <xdr:row>4</xdr:row>
                    <xdr:rowOff>47625</xdr:rowOff>
                  </from>
                  <to>
                    <xdr:col>10</xdr:col>
                    <xdr:colOff>714375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4" name="Button 42">
              <controlPr defaultSize="0" print="0" autoFill="0" autoPict="0" macro="[0]!proclamer_periode">
                <anchor moveWithCells="1" sizeWithCells="1">
                  <from>
                    <xdr:col>13</xdr:col>
                    <xdr:colOff>647700</xdr:colOff>
                    <xdr:row>5</xdr:row>
                    <xdr:rowOff>38100</xdr:rowOff>
                  </from>
                  <to>
                    <xdr:col>15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B351-A903-4916-9727-139B7475404A}">
  <sheetPr codeName="Feuil8"/>
  <dimension ref="A1:AE122"/>
  <sheetViews>
    <sheetView topLeftCell="A45" zoomScale="80" zoomScaleNormal="80" workbookViewId="0">
      <selection activeCell="T36" sqref="T36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(P4)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26</v>
      </c>
      <c r="H6" s="142"/>
      <c r="I6" s="141">
        <f>IFERROR(COUNTIF(I17:I122,"&gt;="&amp;I15/2),0)</f>
        <v>0</v>
      </c>
      <c r="J6" s="141">
        <f t="shared" ref="J6:X6" si="0">IFERROR(COUNTIF(J17:J122,"&gt;="&amp;J15/2),0)</f>
        <v>0</v>
      </c>
      <c r="K6" s="141">
        <f t="shared" si="0"/>
        <v>0</v>
      </c>
      <c r="L6" s="141">
        <f t="shared" si="0"/>
        <v>0</v>
      </c>
      <c r="M6" s="141">
        <f t="shared" si="0"/>
        <v>0</v>
      </c>
      <c r="N6" s="141">
        <f t="shared" si="0"/>
        <v>0</v>
      </c>
      <c r="O6" s="141">
        <f t="shared" si="0"/>
        <v>0</v>
      </c>
      <c r="P6" s="141">
        <f t="shared" si="0"/>
        <v>0</v>
      </c>
      <c r="Q6" s="141">
        <f t="shared" si="0"/>
        <v>0</v>
      </c>
      <c r="R6" s="141">
        <f t="shared" si="0"/>
        <v>0</v>
      </c>
      <c r="S6" s="141">
        <f t="shared" si="0"/>
        <v>0</v>
      </c>
      <c r="T6" s="141">
        <f t="shared" si="0"/>
        <v>0</v>
      </c>
      <c r="U6" s="141">
        <f t="shared" si="0"/>
        <v>0</v>
      </c>
      <c r="V6" s="141">
        <f t="shared" si="0"/>
        <v>0</v>
      </c>
      <c r="W6" s="141">
        <f t="shared" si="0"/>
        <v>0</v>
      </c>
      <c r="X6" s="141">
        <f t="shared" si="0"/>
        <v>0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15</v>
      </c>
      <c r="H7" s="146"/>
      <c r="I7" s="145">
        <f t="shared" si="1"/>
        <v>0</v>
      </c>
      <c r="J7" s="145">
        <f t="shared" si="1"/>
        <v>0</v>
      </c>
      <c r="K7" s="145">
        <f t="shared" si="1"/>
        <v>0</v>
      </c>
      <c r="L7" s="145">
        <f t="shared" si="1"/>
        <v>0</v>
      </c>
      <c r="M7" s="145">
        <f t="shared" si="1"/>
        <v>0</v>
      </c>
      <c r="N7" s="145">
        <f t="shared" si="1"/>
        <v>0</v>
      </c>
      <c r="O7" s="145">
        <f t="shared" si="1"/>
        <v>0</v>
      </c>
      <c r="P7" s="145">
        <f t="shared" si="1"/>
        <v>0</v>
      </c>
      <c r="Q7" s="145">
        <f t="shared" si="1"/>
        <v>0</v>
      </c>
      <c r="R7" s="145">
        <f t="shared" si="1"/>
        <v>0</v>
      </c>
      <c r="S7" s="145">
        <f t="shared" si="1"/>
        <v>0</v>
      </c>
      <c r="T7" s="145">
        <f t="shared" si="1"/>
        <v>0</v>
      </c>
      <c r="U7" s="145">
        <f t="shared" si="1"/>
        <v>0</v>
      </c>
      <c r="V7" s="145">
        <f t="shared" si="1"/>
        <v>0</v>
      </c>
      <c r="W7" s="145">
        <f t="shared" si="1"/>
        <v>0</v>
      </c>
      <c r="X7" s="145">
        <f t="shared" si="1"/>
        <v>0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8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41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0</v>
      </c>
      <c r="S8" s="145">
        <f t="shared" si="2"/>
        <v>0</v>
      </c>
      <c r="T8" s="145">
        <f t="shared" si="2"/>
        <v>0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162</v>
      </c>
      <c r="K9" s="145">
        <f t="shared" si="3"/>
        <v>0</v>
      </c>
      <c r="L9" s="145">
        <f t="shared" si="3"/>
        <v>0</v>
      </c>
      <c r="M9" s="145">
        <f t="shared" si="3"/>
        <v>0</v>
      </c>
      <c r="N9" s="145">
        <f t="shared" si="3"/>
        <v>0</v>
      </c>
      <c r="O9" s="145">
        <f t="shared" si="3"/>
        <v>0</v>
      </c>
      <c r="P9" s="145">
        <f t="shared" si="3"/>
        <v>0</v>
      </c>
      <c r="Q9" s="145">
        <f t="shared" si="3"/>
        <v>0</v>
      </c>
      <c r="R9" s="145">
        <f t="shared" si="3"/>
        <v>0</v>
      </c>
      <c r="S9" s="145">
        <f t="shared" si="3"/>
        <v>0</v>
      </c>
      <c r="T9" s="145">
        <f t="shared" si="3"/>
        <v>0</v>
      </c>
      <c r="U9" s="145">
        <f t="shared" si="3"/>
        <v>0</v>
      </c>
      <c r="V9" s="145">
        <f t="shared" si="3"/>
        <v>0</v>
      </c>
      <c r="W9" s="145">
        <f t="shared" si="3"/>
        <v>0</v>
      </c>
      <c r="X9" s="145">
        <f t="shared" si="3"/>
        <v>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63.414634146341463</v>
      </c>
      <c r="H10" s="146"/>
      <c r="I10" s="145">
        <f t="shared" si="4"/>
        <v>0</v>
      </c>
      <c r="J10" s="145">
        <f t="shared" si="4"/>
        <v>0</v>
      </c>
      <c r="K10" s="145">
        <f t="shared" si="4"/>
        <v>0</v>
      </c>
      <c r="L10" s="145">
        <f t="shared" si="4"/>
        <v>0</v>
      </c>
      <c r="M10" s="145">
        <f t="shared" si="4"/>
        <v>0</v>
      </c>
      <c r="N10" s="145">
        <f t="shared" si="4"/>
        <v>0</v>
      </c>
      <c r="O10" s="145">
        <f t="shared" si="4"/>
        <v>0</v>
      </c>
      <c r="P10" s="145">
        <f t="shared" si="4"/>
        <v>0</v>
      </c>
      <c r="Q10" s="145">
        <f t="shared" si="4"/>
        <v>0</v>
      </c>
      <c r="R10" s="145">
        <f t="shared" si="4"/>
        <v>0</v>
      </c>
      <c r="S10" s="145">
        <f t="shared" si="4"/>
        <v>0</v>
      </c>
      <c r="T10" s="145">
        <f t="shared" si="4"/>
        <v>0</v>
      </c>
      <c r="U10" s="145">
        <f t="shared" si="4"/>
        <v>0</v>
      </c>
      <c r="V10" s="145">
        <f t="shared" si="4"/>
        <v>0</v>
      </c>
      <c r="W10" s="145">
        <f t="shared" si="4"/>
        <v>0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36.585365853658537</v>
      </c>
      <c r="H11" s="146"/>
      <c r="I11" s="145">
        <f t="shared" si="5"/>
        <v>0</v>
      </c>
      <c r="J11" s="145">
        <f t="shared" si="5"/>
        <v>0</v>
      </c>
      <c r="K11" s="145">
        <f t="shared" si="5"/>
        <v>0</v>
      </c>
      <c r="L11" s="145">
        <f t="shared" si="5"/>
        <v>0</v>
      </c>
      <c r="M11" s="145">
        <f t="shared" si="5"/>
        <v>0</v>
      </c>
      <c r="N11" s="145">
        <f t="shared" si="5"/>
        <v>0</v>
      </c>
      <c r="O11" s="145">
        <f t="shared" si="5"/>
        <v>0</v>
      </c>
      <c r="P11" s="145">
        <f t="shared" si="5"/>
        <v>0</v>
      </c>
      <c r="Q11" s="145">
        <f t="shared" si="5"/>
        <v>0</v>
      </c>
      <c r="R11" s="145">
        <f t="shared" si="5"/>
        <v>0</v>
      </c>
      <c r="S11" s="145">
        <f t="shared" si="5"/>
        <v>0</v>
      </c>
      <c r="T11" s="145">
        <f t="shared" si="5"/>
        <v>0</v>
      </c>
      <c r="U11" s="145">
        <f t="shared" si="5"/>
        <v>0</v>
      </c>
      <c r="V11" s="145">
        <f t="shared" si="5"/>
        <v>0</v>
      </c>
      <c r="W11" s="145">
        <f t="shared" si="5"/>
        <v>0</v>
      </c>
      <c r="X11" s="145">
        <f t="shared" si="5"/>
        <v>0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3.9512195121951219</v>
      </c>
      <c r="H12" s="150"/>
      <c r="I12" s="149">
        <f t="shared" si="6"/>
        <v>0</v>
      </c>
      <c r="J12" s="149">
        <f t="shared" si="6"/>
        <v>0</v>
      </c>
      <c r="K12" s="149">
        <f t="shared" si="6"/>
        <v>0</v>
      </c>
      <c r="L12" s="149">
        <f t="shared" si="6"/>
        <v>0</v>
      </c>
      <c r="M12" s="149">
        <f t="shared" si="6"/>
        <v>0</v>
      </c>
      <c r="N12" s="149">
        <f t="shared" si="6"/>
        <v>0</v>
      </c>
      <c r="O12" s="149">
        <f t="shared" si="6"/>
        <v>0</v>
      </c>
      <c r="P12" s="149">
        <f t="shared" si="6"/>
        <v>0</v>
      </c>
      <c r="Q12" s="149">
        <f t="shared" si="6"/>
        <v>0</v>
      </c>
      <c r="R12" s="149">
        <f t="shared" si="6"/>
        <v>0</v>
      </c>
      <c r="S12" s="149">
        <f t="shared" si="6"/>
        <v>0</v>
      </c>
      <c r="T12" s="149">
        <f t="shared" si="6"/>
        <v>0</v>
      </c>
      <c r="U12" s="149">
        <f t="shared" si="6"/>
        <v>0</v>
      </c>
      <c r="V12" s="149">
        <f t="shared" si="6"/>
        <v>0</v>
      </c>
      <c r="W12" s="149">
        <f t="shared" si="6"/>
        <v>0</v>
      </c>
      <c r="X12" s="149">
        <f t="shared" si="6"/>
        <v>0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1.4">
      <c r="A14" s="121"/>
      <c r="B14" s="122" t="s">
        <v>157</v>
      </c>
      <c r="C14" s="123"/>
      <c r="D14" s="292" t="s">
        <v>34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282">
        <f>DashBoard!$AB7</f>
        <v>10</v>
      </c>
      <c r="H15" s="119"/>
      <c r="I15" s="282">
        <f>DashBoard!$AB9</f>
        <v>20</v>
      </c>
      <c r="J15" s="282">
        <f>DashBoard!$AB10</f>
        <v>20</v>
      </c>
      <c r="K15" s="282">
        <f>DashBoard!$AB11</f>
        <v>20</v>
      </c>
      <c r="L15" s="282">
        <f>DashBoard!$AB12</f>
        <v>20</v>
      </c>
      <c r="M15" s="282">
        <f>DashBoard!$AB13</f>
        <v>20</v>
      </c>
      <c r="N15" s="282">
        <f>DashBoard!$AB14</f>
        <v>20</v>
      </c>
      <c r="O15" s="282">
        <f>DashBoard!$AB15</f>
        <v>20</v>
      </c>
      <c r="P15" s="282">
        <f>DashBoard!$AB16</f>
        <v>30</v>
      </c>
      <c r="Q15" s="282">
        <f>DashBoard!$AB17</f>
        <v>30</v>
      </c>
      <c r="R15" s="282">
        <f>DashBoard!$AB18</f>
        <v>30</v>
      </c>
      <c r="S15" s="282">
        <f>DashBoard!$AB19</f>
        <v>30</v>
      </c>
      <c r="T15" s="282">
        <f>DashBoard!$AB20</f>
        <v>40</v>
      </c>
      <c r="U15" s="282">
        <f>DashBoard!$AB21</f>
        <v>40</v>
      </c>
      <c r="V15" s="282">
        <f>DashBoard!$AB22</f>
        <v>40</v>
      </c>
      <c r="W15" s="282">
        <f>DashBoard!$AB23</f>
        <v>40</v>
      </c>
      <c r="X15" s="282">
        <f>DashBoard!$AB24</f>
        <v>100</v>
      </c>
      <c r="Y15" s="120"/>
      <c r="Z15" s="293">
        <f>SUM(G15,I15:Y15)</f>
        <v>530</v>
      </c>
      <c r="AA15" s="297"/>
      <c r="AB15" s="283"/>
      <c r="AC15" s="335"/>
      <c r="AD15" s="323"/>
    </row>
    <row r="16" spans="1:31" ht="15.75" thickBot="1" x14ac:dyDescent="0.3">
      <c r="A16" s="284" t="s">
        <v>172</v>
      </c>
      <c r="B16" s="284" t="s">
        <v>161</v>
      </c>
      <c r="C16" s="284" t="s">
        <v>162</v>
      </c>
      <c r="D16" s="285" t="s">
        <v>163</v>
      </c>
      <c r="E16" s="286"/>
      <c r="F16" s="287">
        <v>1</v>
      </c>
      <c r="G16" s="288">
        <v>2</v>
      </c>
      <c r="H16" s="288">
        <v>3</v>
      </c>
      <c r="I16" s="288">
        <v>4</v>
      </c>
      <c r="J16" s="288">
        <v>5</v>
      </c>
      <c r="K16" s="288">
        <v>7</v>
      </c>
      <c r="L16" s="288">
        <v>7</v>
      </c>
      <c r="M16" s="288">
        <v>8</v>
      </c>
      <c r="N16" s="288">
        <v>9</v>
      </c>
      <c r="O16" s="288">
        <v>10</v>
      </c>
      <c r="P16" s="288">
        <v>11</v>
      </c>
      <c r="Q16" s="288">
        <v>12</v>
      </c>
      <c r="R16" s="288">
        <v>13</v>
      </c>
      <c r="S16" s="288">
        <v>14</v>
      </c>
      <c r="T16" s="288">
        <v>15</v>
      </c>
      <c r="U16" s="288">
        <v>16</v>
      </c>
      <c r="V16" s="288">
        <v>17</v>
      </c>
      <c r="W16" s="288">
        <v>18</v>
      </c>
      <c r="X16" s="288">
        <v>19</v>
      </c>
      <c r="Y16" s="289">
        <v>20</v>
      </c>
      <c r="Z16" s="290"/>
      <c r="AA16" s="290"/>
      <c r="AB16" s="291"/>
      <c r="AC16" s="290"/>
      <c r="AD16" s="324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/>
      <c r="H17" s="110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10"/>
      <c r="Z17" s="294">
        <f>SUM(G17,I17:X17)</f>
        <v>0</v>
      </c>
      <c r="AA17" s="298">
        <f>(Z17/$Z$15)*100</f>
        <v>0</v>
      </c>
      <c r="AB17" s="300" t="str">
        <f>RANK(AA17,AA$17:AA$122,0) &amp;"/"&amp; COUNTA($B$17:$B$122)</f>
        <v>42/49</v>
      </c>
      <c r="AC17" s="338" t="str">
        <f>IF(AA17&gt;60,"TB","B")</f>
        <v>B</v>
      </c>
      <c r="AD17" s="320" t="str">
        <f>IF(COUNTIF(F17:Y17,"")&gt;3,"Manque " &amp; COUNTIF(F17:Y17,"") - 3 &amp; " Cotes","RAS")</f>
        <v>Manque 17 Cotes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/>
      <c r="H18" s="110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0"/>
      <c r="Z18" s="295">
        <f t="shared" ref="Z18:Z81" si="7">SUM(G18,I18:X18)</f>
        <v>0</v>
      </c>
      <c r="AA18" s="298">
        <f t="shared" ref="AA18:AA81" si="8">(Z18/$Z$15)*100</f>
        <v>0</v>
      </c>
      <c r="AB18" s="300" t="str">
        <f t="shared" ref="AB18:AB81" si="9">RANK(AA18,AA$17:AA$122,0) &amp;"/"&amp; COUNTA($B$17:$B$122)</f>
        <v>42/49</v>
      </c>
      <c r="AC18" s="338" t="str">
        <f t="shared" ref="AC18:AC81" si="10">IF(AA18&gt;60,"TB","B")</f>
        <v>B</v>
      </c>
      <c r="AD18" s="321" t="str">
        <f t="shared" ref="AD18:AD81" si="11">IF(COUNTIF(F18:Y18,"")&gt;3,"Manque " &amp; COUNTIF(F18:Y18,"") - 3 &amp; " Cotes","RAS")</f>
        <v>Manque 17 Cotes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/>
      <c r="H19" s="110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0"/>
      <c r="Z19" s="295">
        <f t="shared" si="7"/>
        <v>0</v>
      </c>
      <c r="AA19" s="298">
        <f t="shared" si="8"/>
        <v>0</v>
      </c>
      <c r="AB19" s="300" t="str">
        <f t="shared" si="9"/>
        <v>42/49</v>
      </c>
      <c r="AC19" s="338" t="str">
        <f t="shared" si="10"/>
        <v>B</v>
      </c>
      <c r="AD19" s="321" t="str">
        <f t="shared" si="11"/>
        <v>Manque 17 Cotes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/>
      <c r="H20" s="110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0"/>
      <c r="Z20" s="295">
        <f t="shared" si="7"/>
        <v>0</v>
      </c>
      <c r="AA20" s="298">
        <f t="shared" si="8"/>
        <v>0</v>
      </c>
      <c r="AB20" s="300" t="str">
        <f t="shared" si="9"/>
        <v>42/49</v>
      </c>
      <c r="AC20" s="338" t="str">
        <f t="shared" si="10"/>
        <v>B</v>
      </c>
      <c r="AD20" s="321" t="str">
        <f t="shared" si="11"/>
        <v>Manque 17 Cotes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8</v>
      </c>
      <c r="H21" s="110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0"/>
      <c r="Z21" s="295">
        <f t="shared" si="7"/>
        <v>8</v>
      </c>
      <c r="AA21" s="298">
        <f t="shared" si="8"/>
        <v>1.5094339622641511</v>
      </c>
      <c r="AB21" s="300" t="str">
        <f t="shared" si="9"/>
        <v>2/49</v>
      </c>
      <c r="AC21" s="338" t="str">
        <f t="shared" si="10"/>
        <v>B</v>
      </c>
      <c r="AD21" s="321" t="str">
        <f>IF(COUNTIF(F21:Y21,"")&gt;3,"Manque " &amp; COUNTIF(F21:Y21,"") - 3 &amp; " Cotes","RAS")</f>
        <v>Manque 16 Cotes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2</v>
      </c>
      <c r="H22" s="110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0"/>
      <c r="Z22" s="295">
        <f t="shared" si="7"/>
        <v>2</v>
      </c>
      <c r="AA22" s="298">
        <f t="shared" si="8"/>
        <v>0.37735849056603776</v>
      </c>
      <c r="AB22" s="300" t="str">
        <f t="shared" si="9"/>
        <v>27/49</v>
      </c>
      <c r="AC22" s="338" t="str">
        <f t="shared" si="10"/>
        <v>B</v>
      </c>
      <c r="AD22" s="321" t="str">
        <f t="shared" si="11"/>
        <v>Manque 16 Cotes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2</v>
      </c>
      <c r="H23" s="110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0"/>
      <c r="Z23" s="295">
        <f t="shared" si="7"/>
        <v>2</v>
      </c>
      <c r="AA23" s="298">
        <f t="shared" si="8"/>
        <v>0.37735849056603776</v>
      </c>
      <c r="AB23" s="300" t="str">
        <f t="shared" si="9"/>
        <v>27/49</v>
      </c>
      <c r="AC23" s="338" t="str">
        <f t="shared" si="10"/>
        <v>B</v>
      </c>
      <c r="AD23" s="321" t="str">
        <f t="shared" si="11"/>
        <v>Manque 16 Cotes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5</v>
      </c>
      <c r="H24" s="110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0"/>
      <c r="Z24" s="295">
        <f t="shared" si="7"/>
        <v>5</v>
      </c>
      <c r="AA24" s="298">
        <f t="shared" si="8"/>
        <v>0.94339622641509435</v>
      </c>
      <c r="AB24" s="300" t="str">
        <f t="shared" si="9"/>
        <v>5/49</v>
      </c>
      <c r="AC24" s="338" t="str">
        <f t="shared" si="10"/>
        <v>B</v>
      </c>
      <c r="AD24" s="321" t="str">
        <f t="shared" si="11"/>
        <v>Manque 16 Cotes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/>
      <c r="H25" s="110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0"/>
      <c r="Z25" s="295">
        <f t="shared" si="7"/>
        <v>0</v>
      </c>
      <c r="AA25" s="298">
        <f t="shared" si="8"/>
        <v>0</v>
      </c>
      <c r="AB25" s="300" t="str">
        <f t="shared" si="9"/>
        <v>42/49</v>
      </c>
      <c r="AC25" s="338" t="str">
        <f t="shared" si="10"/>
        <v>B</v>
      </c>
      <c r="AD25" s="321" t="str">
        <f t="shared" si="11"/>
        <v>Manque 17 Cotes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5</v>
      </c>
      <c r="H26" s="110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0"/>
      <c r="Z26" s="295">
        <f t="shared" si="7"/>
        <v>5</v>
      </c>
      <c r="AA26" s="298">
        <f t="shared" si="8"/>
        <v>0.94339622641509435</v>
      </c>
      <c r="AB26" s="300" t="str">
        <f t="shared" si="9"/>
        <v>5/49</v>
      </c>
      <c r="AC26" s="338" t="str">
        <f t="shared" si="10"/>
        <v>B</v>
      </c>
      <c r="AD26" s="321" t="str">
        <f t="shared" si="11"/>
        <v>Manque 16 Cotes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1</v>
      </c>
      <c r="H27" s="110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0"/>
      <c r="Z27" s="295">
        <f t="shared" si="7"/>
        <v>1</v>
      </c>
      <c r="AA27" s="298">
        <f t="shared" si="8"/>
        <v>0.18867924528301888</v>
      </c>
      <c r="AB27" s="300" t="str">
        <f t="shared" si="9"/>
        <v>32/49</v>
      </c>
      <c r="AC27" s="338" t="str">
        <f t="shared" si="10"/>
        <v>B</v>
      </c>
      <c r="AD27" s="321" t="str">
        <f t="shared" si="11"/>
        <v>Manque 16 Cotes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/>
      <c r="H28" s="110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0"/>
      <c r="Z28" s="295">
        <f t="shared" si="7"/>
        <v>0</v>
      </c>
      <c r="AA28" s="298">
        <f t="shared" si="8"/>
        <v>0</v>
      </c>
      <c r="AB28" s="300" t="str">
        <f t="shared" si="9"/>
        <v>42/49</v>
      </c>
      <c r="AC28" s="338" t="str">
        <f t="shared" si="10"/>
        <v>B</v>
      </c>
      <c r="AD28" s="321" t="str">
        <f t="shared" si="11"/>
        <v>Manque 17 Cotes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5</v>
      </c>
      <c r="H29" s="110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0"/>
      <c r="Z29" s="295">
        <f t="shared" si="7"/>
        <v>5</v>
      </c>
      <c r="AA29" s="298">
        <f t="shared" si="8"/>
        <v>0.94339622641509435</v>
      </c>
      <c r="AB29" s="300" t="str">
        <f t="shared" si="9"/>
        <v>5/49</v>
      </c>
      <c r="AC29" s="338" t="str">
        <f t="shared" si="10"/>
        <v>B</v>
      </c>
      <c r="AD29" s="321" t="str">
        <f t="shared" si="11"/>
        <v>Manque 16 Cotes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5</v>
      </c>
      <c r="H30" s="110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0"/>
      <c r="Z30" s="295">
        <f t="shared" si="7"/>
        <v>5</v>
      </c>
      <c r="AA30" s="298">
        <f t="shared" si="8"/>
        <v>0.94339622641509435</v>
      </c>
      <c r="AB30" s="300" t="str">
        <f t="shared" si="9"/>
        <v>5/49</v>
      </c>
      <c r="AC30" s="338" t="str">
        <f t="shared" si="10"/>
        <v>B</v>
      </c>
      <c r="AD30" s="321" t="str">
        <f t="shared" si="11"/>
        <v>Manque 16 Cotes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1</v>
      </c>
      <c r="H31" s="110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0"/>
      <c r="Z31" s="295">
        <f t="shared" si="7"/>
        <v>1</v>
      </c>
      <c r="AA31" s="298">
        <f t="shared" si="8"/>
        <v>0.18867924528301888</v>
      </c>
      <c r="AB31" s="300" t="str">
        <f t="shared" si="9"/>
        <v>32/49</v>
      </c>
      <c r="AC31" s="338" t="str">
        <f t="shared" si="10"/>
        <v>B</v>
      </c>
      <c r="AD31" s="321" t="str">
        <f t="shared" si="11"/>
        <v>Manque 16 Cotes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9</v>
      </c>
      <c r="H32" s="110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0"/>
      <c r="Z32" s="295">
        <f t="shared" si="7"/>
        <v>9</v>
      </c>
      <c r="AA32" s="298">
        <f t="shared" si="8"/>
        <v>1.6981132075471699</v>
      </c>
      <c r="AB32" s="300" t="str">
        <f t="shared" si="9"/>
        <v>1/49</v>
      </c>
      <c r="AC32" s="338" t="str">
        <f t="shared" si="10"/>
        <v>B</v>
      </c>
      <c r="AD32" s="321" t="str">
        <f t="shared" si="11"/>
        <v>Manque 16 Cotes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5</v>
      </c>
      <c r="H33" s="110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0"/>
      <c r="Z33" s="295">
        <f t="shared" si="7"/>
        <v>5</v>
      </c>
      <c r="AA33" s="298">
        <f t="shared" si="8"/>
        <v>0.94339622641509435</v>
      </c>
      <c r="AB33" s="300" t="str">
        <f t="shared" si="9"/>
        <v>5/49</v>
      </c>
      <c r="AC33" s="338" t="str">
        <f t="shared" si="10"/>
        <v>B</v>
      </c>
      <c r="AD33" s="321" t="str">
        <f t="shared" si="11"/>
        <v>Manque 16 Cotes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/>
      <c r="H34" s="110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0"/>
      <c r="Z34" s="295">
        <f t="shared" si="7"/>
        <v>0</v>
      </c>
      <c r="AA34" s="298">
        <f t="shared" si="8"/>
        <v>0</v>
      </c>
      <c r="AB34" s="300" t="str">
        <f t="shared" si="9"/>
        <v>42/49</v>
      </c>
      <c r="AC34" s="338" t="str">
        <f t="shared" si="10"/>
        <v>B</v>
      </c>
      <c r="AD34" s="321" t="str">
        <f t="shared" si="11"/>
        <v>Manque 17 Cotes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1</v>
      </c>
      <c r="H35" s="110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0"/>
      <c r="Z35" s="295">
        <f t="shared" si="7"/>
        <v>1</v>
      </c>
      <c r="AA35" s="298">
        <f t="shared" si="8"/>
        <v>0.18867924528301888</v>
      </c>
      <c r="AB35" s="300" t="str">
        <f t="shared" si="9"/>
        <v>32/49</v>
      </c>
      <c r="AC35" s="338" t="str">
        <f t="shared" si="10"/>
        <v>B</v>
      </c>
      <c r="AD35" s="321" t="str">
        <f t="shared" si="11"/>
        <v>Manque 16 Cotes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8</v>
      </c>
      <c r="H36" s="110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0"/>
      <c r="Z36" s="295">
        <f t="shared" si="7"/>
        <v>8</v>
      </c>
      <c r="AA36" s="298">
        <f t="shared" si="8"/>
        <v>1.5094339622641511</v>
      </c>
      <c r="AB36" s="300" t="str">
        <f t="shared" si="9"/>
        <v>2/49</v>
      </c>
      <c r="AC36" s="338" t="str">
        <f t="shared" si="10"/>
        <v>B</v>
      </c>
      <c r="AD36" s="321" t="str">
        <f t="shared" si="11"/>
        <v>Manque 16 Cotes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1</v>
      </c>
      <c r="H37" s="110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0"/>
      <c r="Z37" s="295">
        <f t="shared" si="7"/>
        <v>1</v>
      </c>
      <c r="AA37" s="298">
        <f t="shared" si="8"/>
        <v>0.18867924528301888</v>
      </c>
      <c r="AB37" s="300" t="str">
        <f t="shared" si="9"/>
        <v>32/49</v>
      </c>
      <c r="AC37" s="338" t="str">
        <f t="shared" si="10"/>
        <v>B</v>
      </c>
      <c r="AD37" s="321" t="str">
        <f t="shared" si="11"/>
        <v>Manque 16 Cotes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5</v>
      </c>
      <c r="H38" s="110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0"/>
      <c r="Z38" s="295">
        <f t="shared" si="7"/>
        <v>5</v>
      </c>
      <c r="AA38" s="298">
        <f t="shared" si="8"/>
        <v>0.94339622641509435</v>
      </c>
      <c r="AB38" s="300" t="str">
        <f t="shared" si="9"/>
        <v>5/49</v>
      </c>
      <c r="AC38" s="338" t="str">
        <f t="shared" si="10"/>
        <v>B</v>
      </c>
      <c r="AD38" s="321" t="str">
        <f t="shared" si="11"/>
        <v>Manque 16 Cotes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5</v>
      </c>
      <c r="H39" s="110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0"/>
      <c r="Z39" s="295">
        <f t="shared" si="7"/>
        <v>5</v>
      </c>
      <c r="AA39" s="298">
        <f t="shared" si="8"/>
        <v>0.94339622641509435</v>
      </c>
      <c r="AB39" s="300" t="str">
        <f t="shared" si="9"/>
        <v>5/49</v>
      </c>
      <c r="AC39" s="338" t="str">
        <f t="shared" si="10"/>
        <v>B</v>
      </c>
      <c r="AD39" s="321" t="str">
        <f t="shared" si="11"/>
        <v>Manque 16 Cotes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5</v>
      </c>
      <c r="H40" s="110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0"/>
      <c r="Z40" s="295">
        <f t="shared" si="7"/>
        <v>5</v>
      </c>
      <c r="AA40" s="298">
        <f t="shared" si="8"/>
        <v>0.94339622641509435</v>
      </c>
      <c r="AB40" s="300" t="str">
        <f t="shared" si="9"/>
        <v>5/49</v>
      </c>
      <c r="AC40" s="338" t="str">
        <f t="shared" si="10"/>
        <v>B</v>
      </c>
      <c r="AD40" s="321" t="str">
        <f t="shared" si="11"/>
        <v>Manque 16 Cotes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1</v>
      </c>
      <c r="H41" s="110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0"/>
      <c r="Z41" s="295">
        <f t="shared" si="7"/>
        <v>1</v>
      </c>
      <c r="AA41" s="298">
        <f t="shared" si="8"/>
        <v>0.18867924528301888</v>
      </c>
      <c r="AB41" s="300" t="str">
        <f t="shared" si="9"/>
        <v>32/49</v>
      </c>
      <c r="AC41" s="338" t="str">
        <f t="shared" si="10"/>
        <v>B</v>
      </c>
      <c r="AD41" s="321" t="str">
        <f t="shared" si="11"/>
        <v>Manque 16 Cotes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5</v>
      </c>
      <c r="H42" s="110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0"/>
      <c r="Z42" s="295">
        <f t="shared" si="7"/>
        <v>5</v>
      </c>
      <c r="AA42" s="298">
        <f t="shared" si="8"/>
        <v>0.94339622641509435</v>
      </c>
      <c r="AB42" s="300" t="str">
        <f t="shared" si="9"/>
        <v>5/49</v>
      </c>
      <c r="AC42" s="338" t="str">
        <f t="shared" si="10"/>
        <v>B</v>
      </c>
      <c r="AD42" s="321" t="str">
        <f t="shared" si="11"/>
        <v>Manque 16 Cotes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1</v>
      </c>
      <c r="H43" s="110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0"/>
      <c r="Z43" s="295">
        <f t="shared" si="7"/>
        <v>1</v>
      </c>
      <c r="AA43" s="298">
        <f t="shared" si="8"/>
        <v>0.18867924528301888</v>
      </c>
      <c r="AB43" s="300" t="str">
        <f t="shared" si="9"/>
        <v>32/49</v>
      </c>
      <c r="AC43" s="338" t="str">
        <f t="shared" si="10"/>
        <v>B</v>
      </c>
      <c r="AD43" s="321" t="str">
        <f t="shared" si="11"/>
        <v>Manque 16 Cotes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5</v>
      </c>
      <c r="H44" s="110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0"/>
      <c r="Z44" s="295">
        <f t="shared" si="7"/>
        <v>5</v>
      </c>
      <c r="AA44" s="298">
        <f t="shared" si="8"/>
        <v>0.94339622641509435</v>
      </c>
      <c r="AB44" s="300" t="str">
        <f t="shared" si="9"/>
        <v>5/49</v>
      </c>
      <c r="AC44" s="338" t="str">
        <f t="shared" si="10"/>
        <v>B</v>
      </c>
      <c r="AD44" s="321" t="str">
        <f t="shared" si="11"/>
        <v>Manque 16 Cotes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5</v>
      </c>
      <c r="H45" s="110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0"/>
      <c r="Z45" s="295">
        <f t="shared" si="7"/>
        <v>5</v>
      </c>
      <c r="AA45" s="298">
        <f t="shared" si="8"/>
        <v>0.94339622641509435</v>
      </c>
      <c r="AB45" s="300" t="str">
        <f t="shared" si="9"/>
        <v>5/49</v>
      </c>
      <c r="AC45" s="338" t="str">
        <f t="shared" si="10"/>
        <v>B</v>
      </c>
      <c r="AD45" s="321" t="str">
        <f t="shared" si="11"/>
        <v>Manque 16 Cotes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5</v>
      </c>
      <c r="H46" s="110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0"/>
      <c r="Z46" s="295">
        <f t="shared" si="7"/>
        <v>5</v>
      </c>
      <c r="AA46" s="298">
        <f t="shared" si="8"/>
        <v>0.94339622641509435</v>
      </c>
      <c r="AB46" s="300" t="str">
        <f t="shared" si="9"/>
        <v>5/49</v>
      </c>
      <c r="AC46" s="338" t="str">
        <f t="shared" si="10"/>
        <v>B</v>
      </c>
      <c r="AD46" s="321" t="str">
        <f t="shared" si="11"/>
        <v>Manque 16 Cotes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1</v>
      </c>
      <c r="H47" s="110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0"/>
      <c r="Z47" s="295">
        <f t="shared" si="7"/>
        <v>1</v>
      </c>
      <c r="AA47" s="298">
        <f t="shared" si="8"/>
        <v>0.18867924528301888</v>
      </c>
      <c r="AB47" s="300" t="str">
        <f t="shared" si="9"/>
        <v>32/49</v>
      </c>
      <c r="AC47" s="338" t="str">
        <f t="shared" si="10"/>
        <v>B</v>
      </c>
      <c r="AD47" s="321" t="str">
        <f t="shared" si="11"/>
        <v>Manque 16 Cotes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1</v>
      </c>
      <c r="H48" s="110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0"/>
      <c r="Z48" s="295">
        <f t="shared" si="7"/>
        <v>1</v>
      </c>
      <c r="AA48" s="298">
        <f t="shared" si="8"/>
        <v>0.18867924528301888</v>
      </c>
      <c r="AB48" s="300" t="str">
        <f t="shared" si="9"/>
        <v>32/49</v>
      </c>
      <c r="AC48" s="338" t="str">
        <f t="shared" si="10"/>
        <v>B</v>
      </c>
      <c r="AD48" s="321" t="str">
        <f t="shared" si="11"/>
        <v>Manque 16 Cotes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5</v>
      </c>
      <c r="H49" s="110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0"/>
      <c r="Z49" s="295">
        <f t="shared" si="7"/>
        <v>5</v>
      </c>
      <c r="AA49" s="298">
        <f t="shared" si="8"/>
        <v>0.94339622641509435</v>
      </c>
      <c r="AB49" s="300" t="str">
        <f t="shared" si="9"/>
        <v>5/49</v>
      </c>
      <c r="AC49" s="338" t="str">
        <f t="shared" si="10"/>
        <v>B</v>
      </c>
      <c r="AD49" s="321" t="str">
        <f t="shared" si="11"/>
        <v>Manque 16 Cotes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5</v>
      </c>
      <c r="H50" s="110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0"/>
      <c r="Z50" s="295">
        <f t="shared" si="7"/>
        <v>5</v>
      </c>
      <c r="AA50" s="298">
        <f t="shared" si="8"/>
        <v>0.94339622641509435</v>
      </c>
      <c r="AB50" s="300" t="str">
        <f t="shared" si="9"/>
        <v>5/49</v>
      </c>
      <c r="AC50" s="338" t="str">
        <f t="shared" si="10"/>
        <v>B</v>
      </c>
      <c r="AD50" s="321" t="str">
        <f t="shared" si="11"/>
        <v>Manque 16 Cotes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5</v>
      </c>
      <c r="H51" s="110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0"/>
      <c r="Z51" s="295">
        <f t="shared" si="7"/>
        <v>5</v>
      </c>
      <c r="AA51" s="298">
        <f t="shared" si="8"/>
        <v>0.94339622641509435</v>
      </c>
      <c r="AB51" s="300" t="str">
        <f t="shared" si="9"/>
        <v>5/49</v>
      </c>
      <c r="AC51" s="338" t="str">
        <f t="shared" si="10"/>
        <v>B</v>
      </c>
      <c r="AD51" s="321" t="str">
        <f t="shared" si="11"/>
        <v>Manque 16 Cotes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5</v>
      </c>
      <c r="H52" s="110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0"/>
      <c r="Z52" s="295">
        <f t="shared" si="7"/>
        <v>5</v>
      </c>
      <c r="AA52" s="298">
        <f t="shared" si="8"/>
        <v>0.94339622641509435</v>
      </c>
      <c r="AB52" s="300" t="str">
        <f t="shared" si="9"/>
        <v>5/49</v>
      </c>
      <c r="AC52" s="338" t="str">
        <f t="shared" si="10"/>
        <v>B</v>
      </c>
      <c r="AD52" s="321" t="str">
        <f t="shared" si="11"/>
        <v>Manque 16 Cotes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5</v>
      </c>
      <c r="H53" s="110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0"/>
      <c r="Z53" s="295">
        <f t="shared" si="7"/>
        <v>5</v>
      </c>
      <c r="AA53" s="298">
        <f t="shared" si="8"/>
        <v>0.94339622641509435</v>
      </c>
      <c r="AB53" s="300" t="str">
        <f t="shared" si="9"/>
        <v>5/49</v>
      </c>
      <c r="AC53" s="338" t="str">
        <f t="shared" si="10"/>
        <v>B</v>
      </c>
      <c r="AD53" s="321" t="str">
        <f t="shared" si="11"/>
        <v>Manque 16 Cotes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5</v>
      </c>
      <c r="H54" s="110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0"/>
      <c r="Z54" s="295">
        <f t="shared" si="7"/>
        <v>5</v>
      </c>
      <c r="AA54" s="298">
        <f t="shared" si="8"/>
        <v>0.94339622641509435</v>
      </c>
      <c r="AB54" s="300" t="str">
        <f t="shared" si="9"/>
        <v>5/49</v>
      </c>
      <c r="AC54" s="338" t="str">
        <f t="shared" si="10"/>
        <v>B</v>
      </c>
      <c r="AD54" s="321" t="str">
        <f t="shared" si="11"/>
        <v>Manque 16 Cotes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5</v>
      </c>
      <c r="H55" s="110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0"/>
      <c r="Z55" s="295">
        <f t="shared" si="7"/>
        <v>5</v>
      </c>
      <c r="AA55" s="298">
        <f t="shared" si="8"/>
        <v>0.94339622641509435</v>
      </c>
      <c r="AB55" s="300" t="str">
        <f t="shared" si="9"/>
        <v>5/49</v>
      </c>
      <c r="AC55" s="338" t="str">
        <f t="shared" si="10"/>
        <v>B</v>
      </c>
      <c r="AD55" s="321" t="str">
        <f t="shared" si="11"/>
        <v>Manque 16 Cotes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5</v>
      </c>
      <c r="H56" s="110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0"/>
      <c r="Z56" s="295">
        <f t="shared" si="7"/>
        <v>5</v>
      </c>
      <c r="AA56" s="298">
        <f t="shared" si="8"/>
        <v>0.94339622641509435</v>
      </c>
      <c r="AB56" s="300" t="str">
        <f t="shared" si="9"/>
        <v>5/49</v>
      </c>
      <c r="AC56" s="338" t="str">
        <f t="shared" si="10"/>
        <v>B</v>
      </c>
      <c r="AD56" s="321" t="str">
        <f t="shared" si="11"/>
        <v>Manque 16 Cotes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2</v>
      </c>
      <c r="H57" s="110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0"/>
      <c r="Z57" s="295">
        <f t="shared" si="7"/>
        <v>2</v>
      </c>
      <c r="AA57" s="298">
        <f t="shared" si="8"/>
        <v>0.37735849056603776</v>
      </c>
      <c r="AB57" s="300" t="str">
        <f t="shared" si="9"/>
        <v>27/49</v>
      </c>
      <c r="AC57" s="338" t="str">
        <f t="shared" si="10"/>
        <v>B</v>
      </c>
      <c r="AD57" s="321" t="str">
        <f t="shared" si="11"/>
        <v>Manque 16 Cotes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2</v>
      </c>
      <c r="H58" s="110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0"/>
      <c r="Z58" s="295">
        <f t="shared" si="7"/>
        <v>2</v>
      </c>
      <c r="AA58" s="298">
        <f t="shared" si="8"/>
        <v>0.37735849056603776</v>
      </c>
      <c r="AB58" s="300" t="str">
        <f t="shared" si="9"/>
        <v>27/49</v>
      </c>
      <c r="AC58" s="338" t="str">
        <f t="shared" si="10"/>
        <v>B</v>
      </c>
      <c r="AD58" s="321" t="str">
        <f t="shared" si="11"/>
        <v>Manque 16 Cotes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5</v>
      </c>
      <c r="H59" s="110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0"/>
      <c r="Z59" s="295">
        <f t="shared" si="7"/>
        <v>5</v>
      </c>
      <c r="AA59" s="298">
        <f t="shared" si="8"/>
        <v>0.94339622641509435</v>
      </c>
      <c r="AB59" s="300" t="str">
        <f t="shared" si="9"/>
        <v>5/49</v>
      </c>
      <c r="AC59" s="338" t="str">
        <f t="shared" si="10"/>
        <v>B</v>
      </c>
      <c r="AD59" s="321" t="str">
        <f t="shared" si="11"/>
        <v>Manque 16 Cotes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1</v>
      </c>
      <c r="H60" s="110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0"/>
      <c r="Z60" s="295">
        <f t="shared" si="7"/>
        <v>1</v>
      </c>
      <c r="AA60" s="298">
        <f t="shared" si="8"/>
        <v>0.18867924528301888</v>
      </c>
      <c r="AB60" s="300" t="str">
        <f t="shared" si="9"/>
        <v>32/49</v>
      </c>
      <c r="AC60" s="338" t="str">
        <f t="shared" si="10"/>
        <v>B</v>
      </c>
      <c r="AD60" s="321" t="str">
        <f t="shared" si="11"/>
        <v>Manque 16 Cotes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1</v>
      </c>
      <c r="H61" s="110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0"/>
      <c r="Z61" s="295">
        <f t="shared" si="7"/>
        <v>1</v>
      </c>
      <c r="AA61" s="298">
        <f t="shared" si="8"/>
        <v>0.18867924528301888</v>
      </c>
      <c r="AB61" s="300" t="str">
        <f t="shared" si="9"/>
        <v>32/49</v>
      </c>
      <c r="AC61" s="338" t="str">
        <f t="shared" si="10"/>
        <v>B</v>
      </c>
      <c r="AD61" s="321" t="str">
        <f t="shared" si="11"/>
        <v>Manque 16 Cotes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2</v>
      </c>
      <c r="H62" s="110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0"/>
      <c r="Z62" s="295">
        <f t="shared" si="7"/>
        <v>2</v>
      </c>
      <c r="AA62" s="298">
        <f t="shared" si="8"/>
        <v>0.37735849056603776</v>
      </c>
      <c r="AB62" s="300" t="str">
        <f t="shared" si="9"/>
        <v>27/49</v>
      </c>
      <c r="AC62" s="338" t="str">
        <f t="shared" si="10"/>
        <v>B</v>
      </c>
      <c r="AD62" s="321" t="str">
        <f t="shared" si="11"/>
        <v>Manque 16 Cotes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5</v>
      </c>
      <c r="H63" s="110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0"/>
      <c r="Z63" s="295">
        <f t="shared" si="7"/>
        <v>5</v>
      </c>
      <c r="AA63" s="298">
        <f t="shared" si="8"/>
        <v>0.94339622641509435</v>
      </c>
      <c r="AB63" s="300" t="str">
        <f t="shared" si="9"/>
        <v>5/49</v>
      </c>
      <c r="AC63" s="338" t="str">
        <f t="shared" si="10"/>
        <v>B</v>
      </c>
      <c r="AD63" s="321" t="str">
        <f t="shared" si="11"/>
        <v>Manque 16 Cotes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7</v>
      </c>
      <c r="H64" s="110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0"/>
      <c r="Z64" s="295">
        <f t="shared" si="7"/>
        <v>7</v>
      </c>
      <c r="AA64" s="298">
        <f t="shared" si="8"/>
        <v>1.3207547169811322</v>
      </c>
      <c r="AB64" s="300" t="str">
        <f t="shared" si="9"/>
        <v>4/49</v>
      </c>
      <c r="AC64" s="338" t="str">
        <f t="shared" si="10"/>
        <v>B</v>
      </c>
      <c r="AD64" s="321" t="str">
        <f t="shared" si="11"/>
        <v>Manque 16 Cotes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/>
      <c r="H65" s="110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0"/>
      <c r="Z65" s="295">
        <f t="shared" si="7"/>
        <v>0</v>
      </c>
      <c r="AA65" s="298">
        <f t="shared" si="8"/>
        <v>0</v>
      </c>
      <c r="AB65" s="300" t="str">
        <f t="shared" si="9"/>
        <v>42/49</v>
      </c>
      <c r="AC65" s="338" t="str">
        <f t="shared" si="10"/>
        <v>B</v>
      </c>
      <c r="AD65" s="321" t="str">
        <f t="shared" si="11"/>
        <v>Manque 17 Cotes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8"/>
        <v>0</v>
      </c>
      <c r="AB66" s="300" t="str">
        <f t="shared" si="9"/>
        <v>42/49</v>
      </c>
      <c r="AC66" s="338" t="str">
        <f t="shared" si="10"/>
        <v>B</v>
      </c>
      <c r="AD66" s="321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8"/>
        <v>0</v>
      </c>
      <c r="AB67" s="300" t="str">
        <f t="shared" si="9"/>
        <v>42/49</v>
      </c>
      <c r="AC67" s="338" t="str">
        <f t="shared" si="10"/>
        <v>B</v>
      </c>
      <c r="AD67" s="321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8"/>
        <v>0</v>
      </c>
      <c r="AB68" s="300" t="str">
        <f t="shared" si="9"/>
        <v>42/49</v>
      </c>
      <c r="AC68" s="338" t="str">
        <f t="shared" si="10"/>
        <v>B</v>
      </c>
      <c r="AD68" s="321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8"/>
        <v>0</v>
      </c>
      <c r="AB69" s="300" t="str">
        <f t="shared" si="9"/>
        <v>42/49</v>
      </c>
      <c r="AC69" s="338" t="str">
        <f t="shared" si="10"/>
        <v>B</v>
      </c>
      <c r="AD69" s="321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8"/>
        <v>0</v>
      </c>
      <c r="AB70" s="300" t="str">
        <f t="shared" si="9"/>
        <v>42/49</v>
      </c>
      <c r="AC70" s="338" t="str">
        <f t="shared" si="10"/>
        <v>B</v>
      </c>
      <c r="AD70" s="321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8"/>
        <v>0</v>
      </c>
      <c r="AB71" s="300" t="str">
        <f t="shared" si="9"/>
        <v>42/49</v>
      </c>
      <c r="AC71" s="338" t="str">
        <f t="shared" si="10"/>
        <v>B</v>
      </c>
      <c r="AD71" s="321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8"/>
        <v>0</v>
      </c>
      <c r="AB72" s="300" t="str">
        <f t="shared" si="9"/>
        <v>42/49</v>
      </c>
      <c r="AC72" s="338" t="str">
        <f t="shared" si="10"/>
        <v>B</v>
      </c>
      <c r="AD72" s="321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8"/>
        <v>0</v>
      </c>
      <c r="AB73" s="300" t="str">
        <f t="shared" si="9"/>
        <v>42/49</v>
      </c>
      <c r="AC73" s="338" t="str">
        <f t="shared" si="10"/>
        <v>B</v>
      </c>
      <c r="AD73" s="321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8"/>
        <v>0</v>
      </c>
      <c r="AB74" s="300" t="str">
        <f t="shared" si="9"/>
        <v>42/49</v>
      </c>
      <c r="AC74" s="338" t="str">
        <f t="shared" si="10"/>
        <v>B</v>
      </c>
      <c r="AD74" s="321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8"/>
        <v>0</v>
      </c>
      <c r="AB75" s="300" t="str">
        <f t="shared" si="9"/>
        <v>42/49</v>
      </c>
      <c r="AC75" s="338" t="str">
        <f t="shared" si="10"/>
        <v>B</v>
      </c>
      <c r="AD75" s="321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8"/>
        <v>0</v>
      </c>
      <c r="AB76" s="300" t="str">
        <f t="shared" si="9"/>
        <v>42/49</v>
      </c>
      <c r="AC76" s="338" t="str">
        <f t="shared" si="10"/>
        <v>B</v>
      </c>
      <c r="AD76" s="321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8"/>
        <v>0</v>
      </c>
      <c r="AB77" s="300" t="str">
        <f t="shared" si="9"/>
        <v>42/49</v>
      </c>
      <c r="AC77" s="338" t="str">
        <f t="shared" si="10"/>
        <v>B</v>
      </c>
      <c r="AD77" s="321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8"/>
        <v>0</v>
      </c>
      <c r="AB78" s="300" t="str">
        <f t="shared" si="9"/>
        <v>42/49</v>
      </c>
      <c r="AC78" s="338" t="str">
        <f t="shared" si="10"/>
        <v>B</v>
      </c>
      <c r="AD78" s="321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8"/>
        <v>0</v>
      </c>
      <c r="AB79" s="300" t="str">
        <f t="shared" si="9"/>
        <v>42/49</v>
      </c>
      <c r="AC79" s="338" t="str">
        <f t="shared" si="10"/>
        <v>B</v>
      </c>
      <c r="AD79" s="321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8"/>
        <v>0</v>
      </c>
      <c r="AB80" s="300" t="str">
        <f t="shared" si="9"/>
        <v>42/49</v>
      </c>
      <c r="AC80" s="338" t="str">
        <f t="shared" si="10"/>
        <v>B</v>
      </c>
      <c r="AD80" s="321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8"/>
        <v>0</v>
      </c>
      <c r="AB81" s="300" t="str">
        <f t="shared" si="9"/>
        <v>42/49</v>
      </c>
      <c r="AC81" s="338" t="str">
        <f t="shared" si="10"/>
        <v>B</v>
      </c>
      <c r="AD81" s="321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2">SUM(G82,I82:X82)</f>
        <v>0</v>
      </c>
      <c r="AA82" s="298">
        <f t="shared" ref="AA82:AA122" si="13">(Z82/$Z$15)*100</f>
        <v>0</v>
      </c>
      <c r="AB82" s="300" t="str">
        <f t="shared" ref="AB82:AB122" si="14">RANK(AA82,AA$17:AA$122,0) &amp;"/"&amp; COUNTA($B$17:$B$122)</f>
        <v>42/49</v>
      </c>
      <c r="AC82" s="338" t="str">
        <f t="shared" ref="AC82:AC122" si="15">IF(AA82&gt;60,"TB","B")</f>
        <v>B</v>
      </c>
      <c r="AD82" s="321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2"/>
        <v>0</v>
      </c>
      <c r="AA83" s="298">
        <f t="shared" si="13"/>
        <v>0</v>
      </c>
      <c r="AB83" s="300" t="str">
        <f t="shared" si="14"/>
        <v>42/49</v>
      </c>
      <c r="AC83" s="338" t="str">
        <f t="shared" si="15"/>
        <v>B</v>
      </c>
      <c r="AD83" s="321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2"/>
        <v>0</v>
      </c>
      <c r="AA84" s="298">
        <f t="shared" si="13"/>
        <v>0</v>
      </c>
      <c r="AB84" s="300" t="str">
        <f t="shared" si="14"/>
        <v>42/49</v>
      </c>
      <c r="AC84" s="338" t="str">
        <f t="shared" si="15"/>
        <v>B</v>
      </c>
      <c r="AD84" s="321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2"/>
        <v>0</v>
      </c>
      <c r="AA85" s="298">
        <f t="shared" si="13"/>
        <v>0</v>
      </c>
      <c r="AB85" s="300" t="str">
        <f t="shared" si="14"/>
        <v>42/49</v>
      </c>
      <c r="AC85" s="338" t="str">
        <f t="shared" si="15"/>
        <v>B</v>
      </c>
      <c r="AD85" s="321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2"/>
        <v>0</v>
      </c>
      <c r="AA86" s="298">
        <f t="shared" si="13"/>
        <v>0</v>
      </c>
      <c r="AB86" s="300" t="str">
        <f t="shared" si="14"/>
        <v>42/49</v>
      </c>
      <c r="AC86" s="338" t="str">
        <f t="shared" si="15"/>
        <v>B</v>
      </c>
      <c r="AD86" s="321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2"/>
        <v>0</v>
      </c>
      <c r="AA87" s="298">
        <f t="shared" si="13"/>
        <v>0</v>
      </c>
      <c r="AB87" s="300" t="str">
        <f t="shared" si="14"/>
        <v>42/49</v>
      </c>
      <c r="AC87" s="338" t="str">
        <f t="shared" si="15"/>
        <v>B</v>
      </c>
      <c r="AD87" s="321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2"/>
        <v>0</v>
      </c>
      <c r="AA88" s="298">
        <f t="shared" si="13"/>
        <v>0</v>
      </c>
      <c r="AB88" s="300" t="str">
        <f t="shared" si="14"/>
        <v>42/49</v>
      </c>
      <c r="AC88" s="338" t="str">
        <f t="shared" si="15"/>
        <v>B</v>
      </c>
      <c r="AD88" s="321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2"/>
        <v>0</v>
      </c>
      <c r="AA89" s="298">
        <f t="shared" si="13"/>
        <v>0</v>
      </c>
      <c r="AB89" s="300" t="str">
        <f t="shared" si="14"/>
        <v>42/49</v>
      </c>
      <c r="AC89" s="338" t="str">
        <f t="shared" si="15"/>
        <v>B</v>
      </c>
      <c r="AD89" s="321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2"/>
        <v>0</v>
      </c>
      <c r="AA90" s="298">
        <f t="shared" si="13"/>
        <v>0</v>
      </c>
      <c r="AB90" s="300" t="str">
        <f t="shared" si="14"/>
        <v>42/49</v>
      </c>
      <c r="AC90" s="338" t="str">
        <f t="shared" si="15"/>
        <v>B</v>
      </c>
      <c r="AD90" s="321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2"/>
        <v>0</v>
      </c>
      <c r="AA91" s="298">
        <f t="shared" si="13"/>
        <v>0</v>
      </c>
      <c r="AB91" s="300" t="str">
        <f t="shared" si="14"/>
        <v>42/49</v>
      </c>
      <c r="AC91" s="338" t="str">
        <f t="shared" si="15"/>
        <v>B</v>
      </c>
      <c r="AD91" s="321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2"/>
        <v>0</v>
      </c>
      <c r="AA92" s="298">
        <f t="shared" si="13"/>
        <v>0</v>
      </c>
      <c r="AB92" s="300" t="str">
        <f t="shared" si="14"/>
        <v>42/49</v>
      </c>
      <c r="AC92" s="338" t="str">
        <f t="shared" si="15"/>
        <v>B</v>
      </c>
      <c r="AD92" s="321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2"/>
        <v>0</v>
      </c>
      <c r="AA93" s="298">
        <f t="shared" si="13"/>
        <v>0</v>
      </c>
      <c r="AB93" s="300" t="str">
        <f t="shared" si="14"/>
        <v>42/49</v>
      </c>
      <c r="AC93" s="338" t="str">
        <f t="shared" si="15"/>
        <v>B</v>
      </c>
      <c r="AD93" s="321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2"/>
        <v>0</v>
      </c>
      <c r="AA94" s="298">
        <f t="shared" si="13"/>
        <v>0</v>
      </c>
      <c r="AB94" s="300" t="str">
        <f t="shared" si="14"/>
        <v>42/49</v>
      </c>
      <c r="AC94" s="338" t="str">
        <f t="shared" si="15"/>
        <v>B</v>
      </c>
      <c r="AD94" s="321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2"/>
        <v>0</v>
      </c>
      <c r="AA95" s="298">
        <f t="shared" si="13"/>
        <v>0</v>
      </c>
      <c r="AB95" s="300" t="str">
        <f t="shared" si="14"/>
        <v>42/49</v>
      </c>
      <c r="AC95" s="338" t="str">
        <f t="shared" si="15"/>
        <v>B</v>
      </c>
      <c r="AD95" s="321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2"/>
        <v>0</v>
      </c>
      <c r="AA96" s="298">
        <f t="shared" si="13"/>
        <v>0</v>
      </c>
      <c r="AB96" s="300" t="str">
        <f t="shared" si="14"/>
        <v>42/49</v>
      </c>
      <c r="AC96" s="338" t="str">
        <f t="shared" si="15"/>
        <v>B</v>
      </c>
      <c r="AD96" s="321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2"/>
        <v>0</v>
      </c>
      <c r="AA97" s="298">
        <f t="shared" si="13"/>
        <v>0</v>
      </c>
      <c r="AB97" s="300" t="str">
        <f t="shared" si="14"/>
        <v>42/49</v>
      </c>
      <c r="AC97" s="338" t="str">
        <f t="shared" si="15"/>
        <v>B</v>
      </c>
      <c r="AD97" s="321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2"/>
        <v>0</v>
      </c>
      <c r="AA98" s="298">
        <f t="shared" si="13"/>
        <v>0</v>
      </c>
      <c r="AB98" s="300" t="str">
        <f t="shared" si="14"/>
        <v>42/49</v>
      </c>
      <c r="AC98" s="338" t="str">
        <f t="shared" si="15"/>
        <v>B</v>
      </c>
      <c r="AD98" s="321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2"/>
        <v>0</v>
      </c>
      <c r="AA99" s="298">
        <f t="shared" si="13"/>
        <v>0</v>
      </c>
      <c r="AB99" s="300" t="str">
        <f t="shared" si="14"/>
        <v>42/49</v>
      </c>
      <c r="AC99" s="338" t="str">
        <f t="shared" si="15"/>
        <v>B</v>
      </c>
      <c r="AD99" s="321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2"/>
        <v>0</v>
      </c>
      <c r="AA100" s="298">
        <f t="shared" si="13"/>
        <v>0</v>
      </c>
      <c r="AB100" s="300" t="str">
        <f t="shared" si="14"/>
        <v>42/49</v>
      </c>
      <c r="AC100" s="338" t="str">
        <f t="shared" si="15"/>
        <v>B</v>
      </c>
      <c r="AD100" s="321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2"/>
        <v>0</v>
      </c>
      <c r="AA101" s="298">
        <f t="shared" si="13"/>
        <v>0</v>
      </c>
      <c r="AB101" s="300" t="str">
        <f t="shared" si="14"/>
        <v>42/49</v>
      </c>
      <c r="AC101" s="338" t="str">
        <f t="shared" si="15"/>
        <v>B</v>
      </c>
      <c r="AD101" s="321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2"/>
        <v>0</v>
      </c>
      <c r="AA102" s="298">
        <f t="shared" si="13"/>
        <v>0</v>
      </c>
      <c r="AB102" s="300" t="str">
        <f t="shared" si="14"/>
        <v>42/49</v>
      </c>
      <c r="AC102" s="338" t="str">
        <f t="shared" si="15"/>
        <v>B</v>
      </c>
      <c r="AD102" s="321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2"/>
        <v>0</v>
      </c>
      <c r="AA103" s="298">
        <f t="shared" si="13"/>
        <v>0</v>
      </c>
      <c r="AB103" s="300" t="str">
        <f t="shared" si="14"/>
        <v>42/49</v>
      </c>
      <c r="AC103" s="338" t="str">
        <f t="shared" si="15"/>
        <v>B</v>
      </c>
      <c r="AD103" s="321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2"/>
        <v>0</v>
      </c>
      <c r="AA104" s="298">
        <f t="shared" si="13"/>
        <v>0</v>
      </c>
      <c r="AB104" s="300" t="str">
        <f t="shared" si="14"/>
        <v>42/49</v>
      </c>
      <c r="AC104" s="338" t="str">
        <f t="shared" si="15"/>
        <v>B</v>
      </c>
      <c r="AD104" s="321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2"/>
        <v>0</v>
      </c>
      <c r="AA105" s="298">
        <f t="shared" si="13"/>
        <v>0</v>
      </c>
      <c r="AB105" s="300" t="str">
        <f t="shared" si="14"/>
        <v>42/49</v>
      </c>
      <c r="AC105" s="338" t="str">
        <f t="shared" si="15"/>
        <v>B</v>
      </c>
      <c r="AD105" s="321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2"/>
        <v>0</v>
      </c>
      <c r="AA106" s="298">
        <f t="shared" si="13"/>
        <v>0</v>
      </c>
      <c r="AB106" s="300" t="str">
        <f t="shared" si="14"/>
        <v>42/49</v>
      </c>
      <c r="AC106" s="338" t="str">
        <f t="shared" si="15"/>
        <v>B</v>
      </c>
      <c r="AD106" s="321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2"/>
        <v>0</v>
      </c>
      <c r="AA107" s="298">
        <f t="shared" si="13"/>
        <v>0</v>
      </c>
      <c r="AB107" s="300" t="str">
        <f t="shared" si="14"/>
        <v>42/49</v>
      </c>
      <c r="AC107" s="338" t="str">
        <f t="shared" si="15"/>
        <v>B</v>
      </c>
      <c r="AD107" s="321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2"/>
        <v>0</v>
      </c>
      <c r="AA108" s="298">
        <f t="shared" si="13"/>
        <v>0</v>
      </c>
      <c r="AB108" s="300" t="str">
        <f t="shared" si="14"/>
        <v>42/49</v>
      </c>
      <c r="AC108" s="338" t="str">
        <f t="shared" si="15"/>
        <v>B</v>
      </c>
      <c r="AD108" s="321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2"/>
        <v>0</v>
      </c>
      <c r="AA109" s="298">
        <f t="shared" si="13"/>
        <v>0</v>
      </c>
      <c r="AB109" s="300" t="str">
        <f t="shared" si="14"/>
        <v>42/49</v>
      </c>
      <c r="AC109" s="338" t="str">
        <f t="shared" si="15"/>
        <v>B</v>
      </c>
      <c r="AD109" s="321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2"/>
        <v>0</v>
      </c>
      <c r="AA110" s="298">
        <f t="shared" si="13"/>
        <v>0</v>
      </c>
      <c r="AB110" s="300" t="str">
        <f t="shared" si="14"/>
        <v>42/49</v>
      </c>
      <c r="AC110" s="338" t="str">
        <f t="shared" si="15"/>
        <v>B</v>
      </c>
      <c r="AD110" s="321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2"/>
        <v>0</v>
      </c>
      <c r="AA111" s="298">
        <f t="shared" si="13"/>
        <v>0</v>
      </c>
      <c r="AB111" s="300" t="str">
        <f t="shared" si="14"/>
        <v>42/49</v>
      </c>
      <c r="AC111" s="338" t="str">
        <f t="shared" si="15"/>
        <v>B</v>
      </c>
      <c r="AD111" s="321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2"/>
        <v>0</v>
      </c>
      <c r="AA112" s="298">
        <f t="shared" si="13"/>
        <v>0</v>
      </c>
      <c r="AB112" s="300" t="str">
        <f t="shared" si="14"/>
        <v>42/49</v>
      </c>
      <c r="AC112" s="338" t="str">
        <f t="shared" si="15"/>
        <v>B</v>
      </c>
      <c r="AD112" s="321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2"/>
        <v>0</v>
      </c>
      <c r="AA113" s="298">
        <f t="shared" si="13"/>
        <v>0</v>
      </c>
      <c r="AB113" s="300" t="str">
        <f t="shared" si="14"/>
        <v>42/49</v>
      </c>
      <c r="AC113" s="338" t="str">
        <f t="shared" si="15"/>
        <v>B</v>
      </c>
      <c r="AD113" s="321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2"/>
        <v>0</v>
      </c>
      <c r="AA114" s="298">
        <f t="shared" si="13"/>
        <v>0</v>
      </c>
      <c r="AB114" s="300" t="str">
        <f t="shared" si="14"/>
        <v>42/49</v>
      </c>
      <c r="AC114" s="338" t="str">
        <f t="shared" si="15"/>
        <v>B</v>
      </c>
      <c r="AD114" s="321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2"/>
        <v>0</v>
      </c>
      <c r="AA115" s="298">
        <f t="shared" si="13"/>
        <v>0</v>
      </c>
      <c r="AB115" s="300" t="str">
        <f t="shared" si="14"/>
        <v>42/49</v>
      </c>
      <c r="AC115" s="338" t="str">
        <f t="shared" si="15"/>
        <v>B</v>
      </c>
      <c r="AD115" s="321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2"/>
        <v>0</v>
      </c>
      <c r="AA116" s="298">
        <f t="shared" si="13"/>
        <v>0</v>
      </c>
      <c r="AB116" s="300" t="str">
        <f t="shared" si="14"/>
        <v>42/49</v>
      </c>
      <c r="AC116" s="338" t="str">
        <f t="shared" si="15"/>
        <v>B</v>
      </c>
      <c r="AD116" s="321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2"/>
        <v>0</v>
      </c>
      <c r="AA117" s="298">
        <f t="shared" si="13"/>
        <v>0</v>
      </c>
      <c r="AB117" s="300" t="str">
        <f t="shared" si="14"/>
        <v>42/49</v>
      </c>
      <c r="AC117" s="338" t="str">
        <f t="shared" si="15"/>
        <v>B</v>
      </c>
      <c r="AD117" s="321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2"/>
        <v>0</v>
      </c>
      <c r="AA118" s="298">
        <f t="shared" si="13"/>
        <v>0</v>
      </c>
      <c r="AB118" s="300" t="str">
        <f t="shared" si="14"/>
        <v>42/49</v>
      </c>
      <c r="AC118" s="338" t="str">
        <f t="shared" si="15"/>
        <v>B</v>
      </c>
      <c r="AD118" s="321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2"/>
        <v>0</v>
      </c>
      <c r="AA119" s="298">
        <f t="shared" si="13"/>
        <v>0</v>
      </c>
      <c r="AB119" s="300" t="str">
        <f t="shared" si="14"/>
        <v>42/49</v>
      </c>
      <c r="AC119" s="338" t="str">
        <f t="shared" si="15"/>
        <v>B</v>
      </c>
      <c r="AD119" s="321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2"/>
        <v>0</v>
      </c>
      <c r="AA120" s="298">
        <f t="shared" si="13"/>
        <v>0</v>
      </c>
      <c r="AB120" s="300" t="str">
        <f t="shared" si="14"/>
        <v>42/49</v>
      </c>
      <c r="AC120" s="338" t="str">
        <f t="shared" si="15"/>
        <v>B</v>
      </c>
      <c r="AD120" s="321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2"/>
        <v>0</v>
      </c>
      <c r="AA121" s="298">
        <f t="shared" si="13"/>
        <v>0</v>
      </c>
      <c r="AB121" s="300" t="str">
        <f t="shared" si="14"/>
        <v>42/49</v>
      </c>
      <c r="AC121" s="338" t="str">
        <f t="shared" si="15"/>
        <v>B</v>
      </c>
      <c r="AD121" s="321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2"/>
        <v>0</v>
      </c>
      <c r="AA122" s="299">
        <f t="shared" si="13"/>
        <v>0</v>
      </c>
      <c r="AB122" s="300" t="str">
        <f t="shared" si="14"/>
        <v>42/49</v>
      </c>
      <c r="AC122" s="338" t="str">
        <f t="shared" si="15"/>
        <v>B</v>
      </c>
      <c r="AD122" s="322" t="str">
        <f t="shared" si="16"/>
        <v>Manque 17 Cotes</v>
      </c>
    </row>
  </sheetData>
  <sheetProtection selectLockedCells="1"/>
  <mergeCells count="1">
    <mergeCell ref="F13:Q13"/>
  </mergeCells>
  <conditionalFormatting sqref="G17:G122">
    <cfRule type="cellIs" dxfId="33" priority="13" operator="lessThan">
      <formula>10</formula>
    </cfRule>
  </conditionalFormatting>
  <conditionalFormatting sqref="I17:I122">
    <cfRule type="cellIs" dxfId="32" priority="12" operator="lessThan">
      <formula>10</formula>
    </cfRule>
  </conditionalFormatting>
  <conditionalFormatting sqref="J17:K122">
    <cfRule type="cellIs" dxfId="31" priority="3" operator="lessThan">
      <formula>5</formula>
    </cfRule>
  </conditionalFormatting>
  <conditionalFormatting sqref="L17:M122">
    <cfRule type="cellIs" dxfId="30" priority="11" operator="lessThan">
      <formula>15</formula>
    </cfRule>
  </conditionalFormatting>
  <conditionalFormatting sqref="N17:N122">
    <cfRule type="cellIs" dxfId="29" priority="10" operator="lessThan">
      <formula>5</formula>
    </cfRule>
  </conditionalFormatting>
  <conditionalFormatting sqref="O17:O122">
    <cfRule type="cellIs" dxfId="28" priority="9" operator="lessThan">
      <formula>15</formula>
    </cfRule>
  </conditionalFormatting>
  <conditionalFormatting sqref="P17:P122">
    <cfRule type="cellIs" dxfId="27" priority="8" operator="lessThan">
      <formula>25</formula>
    </cfRule>
  </conditionalFormatting>
  <conditionalFormatting sqref="Q17:S122">
    <cfRule type="cellIs" dxfId="26" priority="7" operator="lessThan">
      <formula>10</formula>
    </cfRule>
  </conditionalFormatting>
  <conditionalFormatting sqref="T17:T122">
    <cfRule type="cellIs" dxfId="25" priority="6" operator="lessThan">
      <formula>5</formula>
    </cfRule>
  </conditionalFormatting>
  <conditionalFormatting sqref="U17:V122">
    <cfRule type="cellIs" dxfId="24" priority="5" operator="lessThan">
      <formula>10</formula>
    </cfRule>
  </conditionalFormatting>
  <conditionalFormatting sqref="W17:X122">
    <cfRule type="cellIs" dxfId="23" priority="4" operator="lessThan">
      <formula>5</formula>
    </cfRule>
  </conditionalFormatting>
  <conditionalFormatting sqref="E17:E122">
    <cfRule type="containsText" dxfId="22" priority="1" operator="containsText" text="Abandon">
      <formula>NOT(ISERROR(SEARCH("Abandon",E17)))</formula>
    </cfRule>
    <cfRule type="expression" dxfId="21" priority="2">
      <formula>E17 = "Abandon"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55F88-1F49-4551-B566-995713C09F96}">
  <sheetPr codeName="Feuil10"/>
  <dimension ref="A1:AE122"/>
  <sheetViews>
    <sheetView topLeftCell="A47" zoomScale="80" zoomScaleNormal="80" workbookViewId="0">
      <selection activeCell="T36" sqref="T36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6" width="5.42578125" customWidth="1"/>
    <col min="7" max="21" width="5" customWidth="1"/>
    <col min="22" max="25" width="5.7109375" customWidth="1"/>
    <col min="26" max="26" width="10.140625" bestFit="1" customWidth="1"/>
    <col min="27" max="27" width="5.7109375" customWidth="1"/>
    <col min="28" max="28" width="6.42578125" bestFit="1" customWidth="1"/>
    <col min="29" max="29" width="6.140625" customWidth="1"/>
    <col min="30" max="30" width="18.28515625" customWidth="1"/>
    <col min="31" max="31" width="6.425781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82" t="str">
        <f xml:space="preserve"> " Période (" &amp; D14 &amp; ")"</f>
        <v xml:space="preserve"> Période (EXAM2)</v>
      </c>
      <c r="H3" s="106"/>
      <c r="I3" s="106"/>
      <c r="J3" s="106"/>
      <c r="K3" s="106"/>
      <c r="L3" s="107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D3" s="105"/>
      <c r="AE3" s="105"/>
    </row>
    <row r="4" spans="1:31" ht="8.25" customHeight="1" thickBot="1" x14ac:dyDescent="0.4">
      <c r="C4" s="87"/>
      <c r="D4" s="87"/>
      <c r="E4" s="87"/>
      <c r="F4" s="87"/>
      <c r="G4" s="87"/>
      <c r="H4" s="87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87"/>
      <c r="X4" s="87"/>
      <c r="Y4" s="87"/>
      <c r="Z4" s="87"/>
      <c r="AA4" s="87"/>
      <c r="AB4" s="87"/>
      <c r="AD4" s="87"/>
      <c r="AE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1"/>
      <c r="AB5" s="101"/>
      <c r="AC5" s="101"/>
      <c r="AD5" s="102"/>
    </row>
    <row r="6" spans="1:31" x14ac:dyDescent="0.25">
      <c r="A6" s="88"/>
      <c r="B6" s="91" t="s">
        <v>164</v>
      </c>
      <c r="C6" s="92"/>
      <c r="D6" s="93"/>
      <c r="E6" s="93"/>
      <c r="F6" s="140"/>
      <c r="G6" s="141">
        <f>IFERROR(COUNTIF(G17:G122,"&gt;="&amp;G15/2),0)</f>
        <v>0</v>
      </c>
      <c r="H6" s="142"/>
      <c r="I6" s="141">
        <f>IFERROR(COUNTIF(I17:I122,"&gt;="&amp;I15/2),0)</f>
        <v>0</v>
      </c>
      <c r="J6" s="141">
        <f t="shared" ref="J6:X6" si="0">IFERROR(COUNTIF(J17:J122,"&gt;="&amp;J15/2),0)</f>
        <v>0</v>
      </c>
      <c r="K6" s="141">
        <f t="shared" si="0"/>
        <v>0</v>
      </c>
      <c r="L6" s="141">
        <f t="shared" si="0"/>
        <v>0</v>
      </c>
      <c r="M6" s="141">
        <f t="shared" si="0"/>
        <v>0</v>
      </c>
      <c r="N6" s="141">
        <f t="shared" si="0"/>
        <v>0</v>
      </c>
      <c r="O6" s="141">
        <f t="shared" si="0"/>
        <v>0</v>
      </c>
      <c r="P6" s="141">
        <f t="shared" si="0"/>
        <v>0</v>
      </c>
      <c r="Q6" s="141">
        <f t="shared" si="0"/>
        <v>0</v>
      </c>
      <c r="R6" s="141">
        <f t="shared" si="0"/>
        <v>0</v>
      </c>
      <c r="S6" s="141">
        <f t="shared" si="0"/>
        <v>0</v>
      </c>
      <c r="T6" s="141">
        <f t="shared" si="0"/>
        <v>0</v>
      </c>
      <c r="U6" s="141">
        <f t="shared" si="0"/>
        <v>0</v>
      </c>
      <c r="V6" s="141">
        <f t="shared" si="0"/>
        <v>0</v>
      </c>
      <c r="W6" s="141">
        <f t="shared" si="0"/>
        <v>0</v>
      </c>
      <c r="X6" s="141">
        <f t="shared" si="0"/>
        <v>0</v>
      </c>
      <c r="Y6" s="143"/>
      <c r="Z6" s="93"/>
      <c r="AA6" s="93"/>
      <c r="AB6" s="93"/>
      <c r="AC6" s="93"/>
      <c r="AD6" s="94"/>
    </row>
    <row r="7" spans="1:31" x14ac:dyDescent="0.25">
      <c r="A7" s="88"/>
      <c r="B7" s="95" t="s">
        <v>165</v>
      </c>
      <c r="C7" s="90"/>
      <c r="D7" s="109"/>
      <c r="E7" s="109"/>
      <c r="F7" s="144"/>
      <c r="G7" s="145">
        <f t="shared" ref="G7:X7" si="1">IFERROR(COUNTIF(G17:G122,"&lt;"&amp;G15/2),0)</f>
        <v>41</v>
      </c>
      <c r="H7" s="146"/>
      <c r="I7" s="145">
        <f t="shared" si="1"/>
        <v>0</v>
      </c>
      <c r="J7" s="145">
        <f t="shared" si="1"/>
        <v>0</v>
      </c>
      <c r="K7" s="145">
        <f t="shared" si="1"/>
        <v>0</v>
      </c>
      <c r="L7" s="145">
        <f t="shared" si="1"/>
        <v>0</v>
      </c>
      <c r="M7" s="145">
        <f t="shared" si="1"/>
        <v>0</v>
      </c>
      <c r="N7" s="145">
        <f t="shared" si="1"/>
        <v>0</v>
      </c>
      <c r="O7" s="145">
        <f t="shared" si="1"/>
        <v>0</v>
      </c>
      <c r="P7" s="145">
        <f t="shared" si="1"/>
        <v>0</v>
      </c>
      <c r="Q7" s="145">
        <f t="shared" si="1"/>
        <v>0</v>
      </c>
      <c r="R7" s="145">
        <f t="shared" si="1"/>
        <v>0</v>
      </c>
      <c r="S7" s="145">
        <f t="shared" si="1"/>
        <v>0</v>
      </c>
      <c r="T7" s="145">
        <f t="shared" si="1"/>
        <v>0</v>
      </c>
      <c r="U7" s="145">
        <f t="shared" si="1"/>
        <v>0</v>
      </c>
      <c r="V7" s="145">
        <f t="shared" si="1"/>
        <v>0</v>
      </c>
      <c r="W7" s="145">
        <f t="shared" si="1"/>
        <v>0</v>
      </c>
      <c r="X7" s="145">
        <f t="shared" si="1"/>
        <v>0</v>
      </c>
      <c r="Y7" s="147"/>
      <c r="Z7" s="109"/>
      <c r="AA7" s="109"/>
      <c r="AB7" s="109"/>
      <c r="AC7" s="109"/>
      <c r="AD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4"/>
      <c r="G8" s="145">
        <f>IFERROR(IF((COUNTIF(G17:G122,"") - (COUNTIF(G17:G122,"") - COUNTA(C17:C122)))-COUNTA(G17:G122)&lt;0,0,(COUNTIF(G17:G122,"") - (COUNTIF(G17:G122,"") - COUNTA(C17:C122)))-COUNTA(G17:G122)),0)</f>
        <v>8</v>
      </c>
      <c r="H8" s="146"/>
      <c r="I8" s="145">
        <f t="shared" ref="I8:X8" si="2">IFERROR(IF((COUNTIF(I17:I122,"") - (COUNTIF(I17:I122,"") - COUNTA(F17:F122)))-COUNTA(I17:I122)&lt;0,0,(COUNTIF(I17:I122,"") - (COUNTIF(I17:I122,"") - COUNTA(F17:F122)))-COUNTA(I17:I122)),0)</f>
        <v>0</v>
      </c>
      <c r="J8" s="145">
        <f t="shared" si="2"/>
        <v>41</v>
      </c>
      <c r="K8" s="145">
        <f t="shared" si="2"/>
        <v>0</v>
      </c>
      <c r="L8" s="145">
        <f t="shared" si="2"/>
        <v>0</v>
      </c>
      <c r="M8" s="145">
        <f t="shared" si="2"/>
        <v>0</v>
      </c>
      <c r="N8" s="145">
        <f t="shared" si="2"/>
        <v>0</v>
      </c>
      <c r="O8" s="145">
        <f t="shared" si="2"/>
        <v>0</v>
      </c>
      <c r="P8" s="145">
        <f t="shared" si="2"/>
        <v>0</v>
      </c>
      <c r="Q8" s="145">
        <f t="shared" si="2"/>
        <v>0</v>
      </c>
      <c r="R8" s="145">
        <f t="shared" si="2"/>
        <v>0</v>
      </c>
      <c r="S8" s="145">
        <f t="shared" si="2"/>
        <v>0</v>
      </c>
      <c r="T8" s="145">
        <f t="shared" si="2"/>
        <v>0</v>
      </c>
      <c r="U8" s="145">
        <f t="shared" si="2"/>
        <v>0</v>
      </c>
      <c r="V8" s="145">
        <f t="shared" si="2"/>
        <v>0</v>
      </c>
      <c r="W8" s="145">
        <f t="shared" si="2"/>
        <v>0</v>
      </c>
      <c r="X8" s="145">
        <f t="shared" si="2"/>
        <v>0</v>
      </c>
      <c r="Y8" s="147"/>
      <c r="Z8" s="109"/>
      <c r="AA8" s="109"/>
      <c r="AB8" s="109"/>
      <c r="AC8" s="109"/>
      <c r="AD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4"/>
      <c r="G9" s="145">
        <f>IFERROR(SUM(C17:C122),0)</f>
        <v>0</v>
      </c>
      <c r="H9" s="146"/>
      <c r="I9" s="145">
        <f t="shared" ref="I9:X9" si="3">IFERROR(SUM(F17:F122),0)</f>
        <v>0</v>
      </c>
      <c r="J9" s="145">
        <f t="shared" si="3"/>
        <v>162</v>
      </c>
      <c r="K9" s="145">
        <f t="shared" si="3"/>
        <v>0</v>
      </c>
      <c r="L9" s="145">
        <f t="shared" si="3"/>
        <v>0</v>
      </c>
      <c r="M9" s="145">
        <f t="shared" si="3"/>
        <v>0</v>
      </c>
      <c r="N9" s="145">
        <f t="shared" si="3"/>
        <v>0</v>
      </c>
      <c r="O9" s="145">
        <f t="shared" si="3"/>
        <v>0</v>
      </c>
      <c r="P9" s="145">
        <f t="shared" si="3"/>
        <v>0</v>
      </c>
      <c r="Q9" s="145">
        <f t="shared" si="3"/>
        <v>0</v>
      </c>
      <c r="R9" s="145">
        <f t="shared" si="3"/>
        <v>0</v>
      </c>
      <c r="S9" s="145">
        <f t="shared" si="3"/>
        <v>0</v>
      </c>
      <c r="T9" s="145">
        <f t="shared" si="3"/>
        <v>0</v>
      </c>
      <c r="U9" s="145">
        <f t="shared" si="3"/>
        <v>0</v>
      </c>
      <c r="V9" s="145">
        <f t="shared" si="3"/>
        <v>0</v>
      </c>
      <c r="W9" s="145">
        <f t="shared" si="3"/>
        <v>0</v>
      </c>
      <c r="X9" s="145">
        <f t="shared" si="3"/>
        <v>0</v>
      </c>
      <c r="Y9" s="147"/>
      <c r="Z9" s="109"/>
      <c r="AA9" s="109"/>
      <c r="AB9" s="109"/>
      <c r="AC9" s="109"/>
      <c r="AD9" s="96"/>
    </row>
    <row r="10" spans="1:31" x14ac:dyDescent="0.25">
      <c r="A10" s="88"/>
      <c r="B10" s="95" t="s">
        <v>168</v>
      </c>
      <c r="C10" s="90"/>
      <c r="D10" s="109"/>
      <c r="E10" s="109"/>
      <c r="F10" s="144"/>
      <c r="G10" s="145">
        <f t="shared" ref="G10:W10" si="4">IFERROR(G6/(G6+G7)*100,0)</f>
        <v>0</v>
      </c>
      <c r="H10" s="146"/>
      <c r="I10" s="145">
        <f t="shared" si="4"/>
        <v>0</v>
      </c>
      <c r="J10" s="145">
        <f t="shared" si="4"/>
        <v>0</v>
      </c>
      <c r="K10" s="145">
        <f t="shared" si="4"/>
        <v>0</v>
      </c>
      <c r="L10" s="145">
        <f t="shared" si="4"/>
        <v>0</v>
      </c>
      <c r="M10" s="145">
        <f t="shared" si="4"/>
        <v>0</v>
      </c>
      <c r="N10" s="145">
        <f t="shared" si="4"/>
        <v>0</v>
      </c>
      <c r="O10" s="145">
        <f t="shared" si="4"/>
        <v>0</v>
      </c>
      <c r="P10" s="145">
        <f t="shared" si="4"/>
        <v>0</v>
      </c>
      <c r="Q10" s="145">
        <f t="shared" si="4"/>
        <v>0</v>
      </c>
      <c r="R10" s="145">
        <f t="shared" si="4"/>
        <v>0</v>
      </c>
      <c r="S10" s="145">
        <f t="shared" si="4"/>
        <v>0</v>
      </c>
      <c r="T10" s="145">
        <f t="shared" si="4"/>
        <v>0</v>
      </c>
      <c r="U10" s="145">
        <f t="shared" si="4"/>
        <v>0</v>
      </c>
      <c r="V10" s="145">
        <f t="shared" si="4"/>
        <v>0</v>
      </c>
      <c r="W10" s="145">
        <f t="shared" si="4"/>
        <v>0</v>
      </c>
      <c r="X10" s="145" t="s">
        <v>194</v>
      </c>
      <c r="Y10" s="147"/>
      <c r="Z10" s="109"/>
      <c r="AA10" s="109"/>
      <c r="AB10" s="109"/>
      <c r="AC10" s="109"/>
      <c r="AD10" s="96"/>
    </row>
    <row r="11" spans="1:31" x14ac:dyDescent="0.25">
      <c r="A11" s="88"/>
      <c r="B11" s="95" t="s">
        <v>169</v>
      </c>
      <c r="C11" s="90"/>
      <c r="D11" s="109"/>
      <c r="E11" s="109"/>
      <c r="F11" s="144"/>
      <c r="G11" s="145">
        <f t="shared" ref="G11:X11" si="5">IFERROR(G7/(G6+G7)*100,0)</f>
        <v>100</v>
      </c>
      <c r="H11" s="146"/>
      <c r="I11" s="145">
        <f t="shared" si="5"/>
        <v>0</v>
      </c>
      <c r="J11" s="145">
        <f t="shared" si="5"/>
        <v>0</v>
      </c>
      <c r="K11" s="145">
        <f t="shared" si="5"/>
        <v>0</v>
      </c>
      <c r="L11" s="145">
        <f t="shared" si="5"/>
        <v>0</v>
      </c>
      <c r="M11" s="145">
        <f t="shared" si="5"/>
        <v>0</v>
      </c>
      <c r="N11" s="145">
        <f t="shared" si="5"/>
        <v>0</v>
      </c>
      <c r="O11" s="145">
        <f t="shared" si="5"/>
        <v>0</v>
      </c>
      <c r="P11" s="145">
        <f t="shared" si="5"/>
        <v>0</v>
      </c>
      <c r="Q11" s="145">
        <f t="shared" si="5"/>
        <v>0</v>
      </c>
      <c r="R11" s="145">
        <f t="shared" si="5"/>
        <v>0</v>
      </c>
      <c r="S11" s="145">
        <f t="shared" si="5"/>
        <v>0</v>
      </c>
      <c r="T11" s="145">
        <f t="shared" si="5"/>
        <v>0</v>
      </c>
      <c r="U11" s="145">
        <f t="shared" si="5"/>
        <v>0</v>
      </c>
      <c r="V11" s="145">
        <f t="shared" si="5"/>
        <v>0</v>
      </c>
      <c r="W11" s="145">
        <f t="shared" si="5"/>
        <v>0</v>
      </c>
      <c r="X11" s="145">
        <f t="shared" si="5"/>
        <v>0</v>
      </c>
      <c r="Y11" s="147"/>
      <c r="Z11" s="109"/>
      <c r="AA11" s="109"/>
      <c r="AB11" s="109"/>
      <c r="AC11" s="109"/>
      <c r="AD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8"/>
      <c r="G12" s="149">
        <f t="shared" ref="G12:X12" si="6">IFERROR(AVERAGE(G17:G122),0)</f>
        <v>3.9512195121951219</v>
      </c>
      <c r="H12" s="150"/>
      <c r="I12" s="149">
        <f t="shared" si="6"/>
        <v>0</v>
      </c>
      <c r="J12" s="149">
        <f t="shared" si="6"/>
        <v>0</v>
      </c>
      <c r="K12" s="149">
        <f t="shared" si="6"/>
        <v>0</v>
      </c>
      <c r="L12" s="149">
        <f t="shared" si="6"/>
        <v>0</v>
      </c>
      <c r="M12" s="149">
        <f t="shared" si="6"/>
        <v>0</v>
      </c>
      <c r="N12" s="149">
        <f t="shared" si="6"/>
        <v>0</v>
      </c>
      <c r="O12" s="149">
        <f t="shared" si="6"/>
        <v>0</v>
      </c>
      <c r="P12" s="149">
        <f t="shared" si="6"/>
        <v>0</v>
      </c>
      <c r="Q12" s="149">
        <f t="shared" si="6"/>
        <v>0</v>
      </c>
      <c r="R12" s="149">
        <f t="shared" si="6"/>
        <v>0</v>
      </c>
      <c r="S12" s="149">
        <f t="shared" si="6"/>
        <v>0</v>
      </c>
      <c r="T12" s="149">
        <f t="shared" si="6"/>
        <v>0</v>
      </c>
      <c r="U12" s="149">
        <f t="shared" si="6"/>
        <v>0</v>
      </c>
      <c r="V12" s="149">
        <f t="shared" si="6"/>
        <v>0</v>
      </c>
      <c r="W12" s="149">
        <f t="shared" si="6"/>
        <v>0</v>
      </c>
      <c r="X12" s="149">
        <f t="shared" si="6"/>
        <v>0</v>
      </c>
      <c r="Y12" s="151"/>
      <c r="Z12" s="99"/>
      <c r="AA12" s="99"/>
      <c r="AB12" s="99"/>
      <c r="AC12" s="99"/>
      <c r="AD12" s="100"/>
    </row>
    <row r="13" spans="1:31" ht="16.5" thickBot="1" x14ac:dyDescent="0.3">
      <c r="A13" s="88"/>
      <c r="C13" s="89"/>
      <c r="D13" s="89"/>
      <c r="E13" s="89"/>
      <c r="F13" s="460" t="s">
        <v>156</v>
      </c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</row>
    <row r="14" spans="1:31" ht="159.75" thickBot="1" x14ac:dyDescent="0.75">
      <c r="A14" s="121"/>
      <c r="B14" s="122" t="s">
        <v>157</v>
      </c>
      <c r="C14" s="123"/>
      <c r="D14" s="258" t="s">
        <v>35</v>
      </c>
      <c r="E14" s="244" t="s">
        <v>221</v>
      </c>
      <c r="F14" s="113" t="str">
        <f>DashBoard!$X6</f>
        <v>Religion</v>
      </c>
      <c r="G14" s="114" t="str">
        <f>DashBoard!$X7</f>
        <v>Ed. civique et morale</v>
      </c>
      <c r="H14" s="114" t="str">
        <f>DashBoard!$X8</f>
        <v>Education à la Vie</v>
      </c>
      <c r="I14" s="114" t="str">
        <f>DashBoard!$X9</f>
        <v>Chimie</v>
      </c>
      <c r="J14" s="114" t="str">
        <f>DashBoard!$X10</f>
        <v xml:space="preserve">Géographie </v>
      </c>
      <c r="K14" s="114" t="str">
        <f>DashBoard!$X11</f>
        <v xml:space="preserve">Histoire </v>
      </c>
      <c r="L14" s="114" t="str">
        <f>DashBoard!$X12</f>
        <v>Hygiène allimentaire</v>
      </c>
      <c r="M14" s="114" t="str">
        <f>DashBoard!$X13</f>
        <v>Informatique</v>
      </c>
      <c r="N14" s="114" t="str">
        <f>DashBoard!$X14</f>
        <v>Institutions sociales natio/Intern</v>
      </c>
      <c r="O14" s="114" t="str">
        <f>DashBoard!$X15</f>
        <v>Physiques</v>
      </c>
      <c r="P14" s="114" t="str">
        <f>DashBoard!$X16</f>
        <v>Comptabilité</v>
      </c>
      <c r="Q14" s="114" t="str">
        <f>DashBoard!$X17</f>
        <v>Droit Pénal</v>
      </c>
      <c r="R14" s="114" t="str">
        <f>DashBoard!$X18</f>
        <v>Phychologie Générale</v>
      </c>
      <c r="S14" s="114" t="str">
        <f>DashBoard!$X19</f>
        <v xml:space="preserve">Sociologie Africaine </v>
      </c>
      <c r="T14" s="114" t="str">
        <f>DashBoard!$X20</f>
        <v xml:space="preserve">Anglais </v>
      </c>
      <c r="U14" s="114" t="str">
        <f>DashBoard!$X21</f>
        <v>Education populaire</v>
      </c>
      <c r="V14" s="114" t="str">
        <f>DashBoard!$X22</f>
        <v>Mathématiques</v>
      </c>
      <c r="W14" s="114" t="str">
        <f>DashBoard!$X23</f>
        <v xml:space="preserve">Principes d'éducation </v>
      </c>
      <c r="X14" s="114" t="str">
        <f>DashBoard!$X24</f>
        <v xml:space="preserve">Français </v>
      </c>
      <c r="Y14" s="114" t="str">
        <f>DashBoard!$X25</f>
        <v>Pratique Professionnelle</v>
      </c>
      <c r="Z14" s="112" t="s">
        <v>158</v>
      </c>
      <c r="AA14" s="112" t="s">
        <v>159</v>
      </c>
      <c r="AB14" s="114" t="s">
        <v>160</v>
      </c>
      <c r="AC14" s="112" t="s">
        <v>236</v>
      </c>
      <c r="AD14" s="317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117"/>
      <c r="G15" s="118">
        <f>DashBoard!$AB7 * 2</f>
        <v>20</v>
      </c>
      <c r="H15" s="119"/>
      <c r="I15" s="118">
        <f>DashBoard!$AB9 *2</f>
        <v>40</v>
      </c>
      <c r="J15" s="118">
        <f>DashBoard!$AB10 * 2</f>
        <v>40</v>
      </c>
      <c r="K15" s="118">
        <f>DashBoard!$AB11 * 2</f>
        <v>40</v>
      </c>
      <c r="L15" s="118">
        <f>DashBoard!$AB12*2</f>
        <v>40</v>
      </c>
      <c r="M15" s="118">
        <f>DashBoard!$AB13*2</f>
        <v>40</v>
      </c>
      <c r="N15" s="118">
        <f>DashBoard!$AB14*2</f>
        <v>40</v>
      </c>
      <c r="O15" s="118">
        <f>DashBoard!$AB15*2</f>
        <v>40</v>
      </c>
      <c r="P15" s="118">
        <f>DashBoard!$AB16*2</f>
        <v>60</v>
      </c>
      <c r="Q15" s="118">
        <f>DashBoard!$AB17*2</f>
        <v>60</v>
      </c>
      <c r="R15" s="118">
        <f>DashBoard!$AB18*2</f>
        <v>60</v>
      </c>
      <c r="S15" s="118">
        <f>DashBoard!$AB19*2</f>
        <v>60</v>
      </c>
      <c r="T15" s="118">
        <f>DashBoard!$AB20*2</f>
        <v>80</v>
      </c>
      <c r="U15" s="118">
        <f>DashBoard!$AB21*2</f>
        <v>80</v>
      </c>
      <c r="V15" s="118">
        <f>DashBoard!$AB22*2</f>
        <v>80</v>
      </c>
      <c r="W15" s="118">
        <f>DashBoard!$AB23*2</f>
        <v>80</v>
      </c>
      <c r="X15" s="118">
        <f>DashBoard!$AB24*2</f>
        <v>200</v>
      </c>
      <c r="Y15" s="120"/>
      <c r="Z15" s="293">
        <f>SUM(G15,I15:Y15)</f>
        <v>1060</v>
      </c>
      <c r="AA15" s="297"/>
      <c r="AB15" s="134"/>
      <c r="AC15" s="334"/>
      <c r="AD15" s="318"/>
    </row>
    <row r="16" spans="1:31" ht="15.75" thickBot="1" x14ac:dyDescent="0.3">
      <c r="A16" s="128" t="s">
        <v>172</v>
      </c>
      <c r="B16" s="128" t="s">
        <v>161</v>
      </c>
      <c r="C16" s="128" t="s">
        <v>162</v>
      </c>
      <c r="D16" s="129" t="s">
        <v>163</v>
      </c>
      <c r="E16" s="245"/>
      <c r="F16" s="130">
        <v>1</v>
      </c>
      <c r="G16" s="131">
        <v>2</v>
      </c>
      <c r="H16" s="131">
        <v>3</v>
      </c>
      <c r="I16" s="131">
        <v>4</v>
      </c>
      <c r="J16" s="131">
        <v>5</v>
      </c>
      <c r="K16" s="131">
        <v>7</v>
      </c>
      <c r="L16" s="131">
        <v>7</v>
      </c>
      <c r="M16" s="131">
        <v>8</v>
      </c>
      <c r="N16" s="131">
        <v>9</v>
      </c>
      <c r="O16" s="131">
        <v>10</v>
      </c>
      <c r="P16" s="131">
        <v>11</v>
      </c>
      <c r="Q16" s="131">
        <v>12</v>
      </c>
      <c r="R16" s="131">
        <v>13</v>
      </c>
      <c r="S16" s="131">
        <v>14</v>
      </c>
      <c r="T16" s="131">
        <v>15</v>
      </c>
      <c r="U16" s="131">
        <v>16</v>
      </c>
      <c r="V16" s="131">
        <v>17</v>
      </c>
      <c r="W16" s="131">
        <v>18</v>
      </c>
      <c r="X16" s="131">
        <v>19</v>
      </c>
      <c r="Y16" s="132">
        <v>20</v>
      </c>
      <c r="Z16" s="133"/>
      <c r="AA16" s="133"/>
      <c r="AB16" s="135"/>
      <c r="AC16" s="133"/>
      <c r="AD16" s="319"/>
    </row>
    <row r="17" spans="1:30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10"/>
      <c r="G17" s="127"/>
      <c r="H17" s="110"/>
      <c r="I17" s="127"/>
      <c r="J17" s="127"/>
      <c r="K17" s="127"/>
      <c r="L17" s="127"/>
      <c r="M17" s="127"/>
      <c r="N17" s="127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10"/>
      <c r="Z17" s="294">
        <f>SUM(G17,I17:X17)</f>
        <v>0</v>
      </c>
      <c r="AA17" s="298">
        <f>(Z17/$Z$15)*100</f>
        <v>0</v>
      </c>
      <c r="AB17" s="301" t="str">
        <f>RANK(AA17,AA$17:AA$122,0) &amp;"/"&amp; COUNTA($B$17:$B$122)</f>
        <v>42/49</v>
      </c>
      <c r="AC17" s="338" t="str">
        <f>IF(AA17&gt;60,"TB","B")</f>
        <v>B</v>
      </c>
      <c r="AD17" s="320" t="str">
        <f>IF(COUNTIF(F17:Y17,"")&gt;3,"Manque " &amp; COUNTIF(F17:Y17,"") - 3 &amp; " Cotes","RAS")</f>
        <v>Manque 17 Cotes</v>
      </c>
    </row>
    <row r="18" spans="1:30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0"/>
      <c r="G18" s="111"/>
      <c r="H18" s="110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0"/>
      <c r="Z18" s="295">
        <f t="shared" ref="Z18:Z81" si="7">SUM(G18,I18:X18)</f>
        <v>0</v>
      </c>
      <c r="AA18" s="298">
        <f t="shared" ref="AA18:AA81" si="8">(Z18/$Z$15)*100</f>
        <v>0</v>
      </c>
      <c r="AB18" s="301" t="str">
        <f t="shared" ref="AB18:AB81" si="9">RANK(AA18,AA$17:AA$122,0) &amp;"/"&amp; COUNTA($B$17:$B$122)</f>
        <v>42/49</v>
      </c>
      <c r="AC18" s="338" t="str">
        <f t="shared" ref="AC18:AC81" si="10">IF(AA18&gt;60,"TB","B")</f>
        <v>B</v>
      </c>
      <c r="AD18" s="321" t="str">
        <f t="shared" ref="AD18:AD81" si="11">IF(COUNTIF(F18:Y18,"")&gt;3,"Manque " &amp; COUNTIF(F18:Y18,"") - 3 &amp; " Cotes","RAS")</f>
        <v>Manque 17 Cotes</v>
      </c>
    </row>
    <row r="19" spans="1:30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0"/>
      <c r="G19" s="111"/>
      <c r="H19" s="110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0"/>
      <c r="Z19" s="295">
        <f t="shared" si="7"/>
        <v>0</v>
      </c>
      <c r="AA19" s="298">
        <f t="shared" si="8"/>
        <v>0</v>
      </c>
      <c r="AB19" s="301" t="str">
        <f t="shared" si="9"/>
        <v>42/49</v>
      </c>
      <c r="AC19" s="338" t="str">
        <f t="shared" si="10"/>
        <v>B</v>
      </c>
      <c r="AD19" s="321" t="str">
        <f t="shared" si="11"/>
        <v>Manque 17 Cotes</v>
      </c>
    </row>
    <row r="20" spans="1:30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0"/>
      <c r="G20" s="111"/>
      <c r="H20" s="110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0"/>
      <c r="Z20" s="295">
        <f t="shared" si="7"/>
        <v>0</v>
      </c>
      <c r="AA20" s="298">
        <f t="shared" si="8"/>
        <v>0</v>
      </c>
      <c r="AB20" s="301" t="str">
        <f t="shared" si="9"/>
        <v>42/49</v>
      </c>
      <c r="AC20" s="338" t="str">
        <f t="shared" si="10"/>
        <v>B</v>
      </c>
      <c r="AD20" s="321" t="str">
        <f t="shared" si="11"/>
        <v>Manque 17 Cotes</v>
      </c>
    </row>
    <row r="21" spans="1:30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0"/>
      <c r="G21" s="111">
        <v>8</v>
      </c>
      <c r="H21" s="110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0"/>
      <c r="Z21" s="295">
        <f t="shared" si="7"/>
        <v>8</v>
      </c>
      <c r="AA21" s="298">
        <f t="shared" si="8"/>
        <v>0.75471698113207553</v>
      </c>
      <c r="AB21" s="301" t="str">
        <f t="shared" si="9"/>
        <v>2/49</v>
      </c>
      <c r="AC21" s="338" t="str">
        <f t="shared" si="10"/>
        <v>B</v>
      </c>
      <c r="AD21" s="321" t="str">
        <f>IF(COUNTIF(F21:Y21,"")&gt;3,"Manque " &amp; COUNTIF(F21:Y21,"") - 3 &amp; " Cotes","RAS")</f>
        <v>Manque 16 Cotes</v>
      </c>
    </row>
    <row r="22" spans="1:30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0"/>
      <c r="G22" s="111">
        <v>2</v>
      </c>
      <c r="H22" s="110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0"/>
      <c r="Z22" s="295">
        <f t="shared" si="7"/>
        <v>2</v>
      </c>
      <c r="AA22" s="298">
        <f t="shared" si="8"/>
        <v>0.18867924528301888</v>
      </c>
      <c r="AB22" s="301" t="str">
        <f t="shared" si="9"/>
        <v>27/49</v>
      </c>
      <c r="AC22" s="338" t="str">
        <f t="shared" si="10"/>
        <v>B</v>
      </c>
      <c r="AD22" s="321" t="str">
        <f t="shared" si="11"/>
        <v>Manque 16 Cotes</v>
      </c>
    </row>
    <row r="23" spans="1:30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0"/>
      <c r="G23" s="111">
        <v>2</v>
      </c>
      <c r="H23" s="110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0"/>
      <c r="Z23" s="295">
        <f t="shared" si="7"/>
        <v>2</v>
      </c>
      <c r="AA23" s="298">
        <f t="shared" si="8"/>
        <v>0.18867924528301888</v>
      </c>
      <c r="AB23" s="301" t="str">
        <f t="shared" si="9"/>
        <v>27/49</v>
      </c>
      <c r="AC23" s="338" t="str">
        <f t="shared" si="10"/>
        <v>B</v>
      </c>
      <c r="AD23" s="321" t="str">
        <f t="shared" si="11"/>
        <v>Manque 16 Cotes</v>
      </c>
    </row>
    <row r="24" spans="1:30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0"/>
      <c r="G24" s="111">
        <v>5</v>
      </c>
      <c r="H24" s="110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0"/>
      <c r="Z24" s="295">
        <f t="shared" si="7"/>
        <v>5</v>
      </c>
      <c r="AA24" s="298">
        <f t="shared" si="8"/>
        <v>0.47169811320754718</v>
      </c>
      <c r="AB24" s="301" t="str">
        <f t="shared" si="9"/>
        <v>5/49</v>
      </c>
      <c r="AC24" s="338" t="str">
        <f t="shared" si="10"/>
        <v>B</v>
      </c>
      <c r="AD24" s="321" t="str">
        <f t="shared" si="11"/>
        <v>Manque 16 Cotes</v>
      </c>
    </row>
    <row r="25" spans="1:30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0"/>
      <c r="G25" s="111"/>
      <c r="H25" s="110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0"/>
      <c r="Z25" s="295">
        <f t="shared" si="7"/>
        <v>0</v>
      </c>
      <c r="AA25" s="298">
        <f t="shared" si="8"/>
        <v>0</v>
      </c>
      <c r="AB25" s="301" t="str">
        <f t="shared" si="9"/>
        <v>42/49</v>
      </c>
      <c r="AC25" s="338" t="str">
        <f t="shared" si="10"/>
        <v>B</v>
      </c>
      <c r="AD25" s="321" t="str">
        <f t="shared" si="11"/>
        <v>Manque 17 Cotes</v>
      </c>
    </row>
    <row r="26" spans="1:30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0"/>
      <c r="G26" s="111">
        <v>5</v>
      </c>
      <c r="H26" s="110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0"/>
      <c r="Z26" s="295">
        <f t="shared" si="7"/>
        <v>5</v>
      </c>
      <c r="AA26" s="298">
        <f t="shared" si="8"/>
        <v>0.47169811320754718</v>
      </c>
      <c r="AB26" s="301" t="str">
        <f t="shared" si="9"/>
        <v>5/49</v>
      </c>
      <c r="AC26" s="338" t="str">
        <f t="shared" si="10"/>
        <v>B</v>
      </c>
      <c r="AD26" s="321" t="str">
        <f t="shared" si="11"/>
        <v>Manque 16 Cotes</v>
      </c>
    </row>
    <row r="27" spans="1:30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0"/>
      <c r="G27" s="111">
        <v>1</v>
      </c>
      <c r="H27" s="110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0"/>
      <c r="Z27" s="295">
        <f t="shared" si="7"/>
        <v>1</v>
      </c>
      <c r="AA27" s="298">
        <f t="shared" si="8"/>
        <v>9.4339622641509441E-2</v>
      </c>
      <c r="AB27" s="301" t="str">
        <f t="shared" si="9"/>
        <v>32/49</v>
      </c>
      <c r="AC27" s="338" t="str">
        <f t="shared" si="10"/>
        <v>B</v>
      </c>
      <c r="AD27" s="321" t="str">
        <f t="shared" si="11"/>
        <v>Manque 16 Cotes</v>
      </c>
    </row>
    <row r="28" spans="1:30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0"/>
      <c r="G28" s="111"/>
      <c r="H28" s="110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0"/>
      <c r="Z28" s="295">
        <f t="shared" si="7"/>
        <v>0</v>
      </c>
      <c r="AA28" s="298">
        <f t="shared" si="8"/>
        <v>0</v>
      </c>
      <c r="AB28" s="301" t="str">
        <f t="shared" si="9"/>
        <v>42/49</v>
      </c>
      <c r="AC28" s="338" t="str">
        <f t="shared" si="10"/>
        <v>B</v>
      </c>
      <c r="AD28" s="321" t="str">
        <f t="shared" si="11"/>
        <v>Manque 17 Cotes</v>
      </c>
    </row>
    <row r="29" spans="1:30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0"/>
      <c r="G29" s="111">
        <v>5</v>
      </c>
      <c r="H29" s="110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0"/>
      <c r="Z29" s="295">
        <f t="shared" si="7"/>
        <v>5</v>
      </c>
      <c r="AA29" s="298">
        <f t="shared" si="8"/>
        <v>0.47169811320754718</v>
      </c>
      <c r="AB29" s="301" t="str">
        <f t="shared" si="9"/>
        <v>5/49</v>
      </c>
      <c r="AC29" s="338" t="str">
        <f t="shared" si="10"/>
        <v>B</v>
      </c>
      <c r="AD29" s="321" t="str">
        <f t="shared" si="11"/>
        <v>Manque 16 Cotes</v>
      </c>
    </row>
    <row r="30" spans="1:30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0"/>
      <c r="G30" s="111">
        <v>5</v>
      </c>
      <c r="H30" s="110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0"/>
      <c r="Z30" s="295">
        <f t="shared" si="7"/>
        <v>5</v>
      </c>
      <c r="AA30" s="298">
        <f t="shared" si="8"/>
        <v>0.47169811320754718</v>
      </c>
      <c r="AB30" s="301" t="str">
        <f t="shared" si="9"/>
        <v>5/49</v>
      </c>
      <c r="AC30" s="338" t="str">
        <f t="shared" si="10"/>
        <v>B</v>
      </c>
      <c r="AD30" s="321" t="str">
        <f t="shared" si="11"/>
        <v>Manque 16 Cotes</v>
      </c>
    </row>
    <row r="31" spans="1:30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0"/>
      <c r="G31" s="111">
        <v>1</v>
      </c>
      <c r="H31" s="110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0"/>
      <c r="Z31" s="295">
        <f t="shared" si="7"/>
        <v>1</v>
      </c>
      <c r="AA31" s="298">
        <f t="shared" si="8"/>
        <v>9.4339622641509441E-2</v>
      </c>
      <c r="AB31" s="301" t="str">
        <f t="shared" si="9"/>
        <v>32/49</v>
      </c>
      <c r="AC31" s="338" t="str">
        <f t="shared" si="10"/>
        <v>B</v>
      </c>
      <c r="AD31" s="321" t="str">
        <f t="shared" si="11"/>
        <v>Manque 16 Cotes</v>
      </c>
    </row>
    <row r="32" spans="1:30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0"/>
      <c r="G32" s="111">
        <v>9</v>
      </c>
      <c r="H32" s="110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0"/>
      <c r="Z32" s="295">
        <f t="shared" si="7"/>
        <v>9</v>
      </c>
      <c r="AA32" s="298">
        <f t="shared" si="8"/>
        <v>0.84905660377358494</v>
      </c>
      <c r="AB32" s="301" t="str">
        <f t="shared" si="9"/>
        <v>1/49</v>
      </c>
      <c r="AC32" s="338" t="str">
        <f t="shared" si="10"/>
        <v>B</v>
      </c>
      <c r="AD32" s="321" t="str">
        <f t="shared" si="11"/>
        <v>Manque 16 Cotes</v>
      </c>
    </row>
    <row r="33" spans="1:30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0"/>
      <c r="G33" s="111">
        <v>5</v>
      </c>
      <c r="H33" s="110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0"/>
      <c r="Z33" s="295">
        <f t="shared" si="7"/>
        <v>5</v>
      </c>
      <c r="AA33" s="298">
        <f t="shared" si="8"/>
        <v>0.47169811320754718</v>
      </c>
      <c r="AB33" s="301" t="str">
        <f t="shared" si="9"/>
        <v>5/49</v>
      </c>
      <c r="AC33" s="338" t="str">
        <f t="shared" si="10"/>
        <v>B</v>
      </c>
      <c r="AD33" s="321" t="str">
        <f t="shared" si="11"/>
        <v>Manque 16 Cotes</v>
      </c>
    </row>
    <row r="34" spans="1:30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0"/>
      <c r="G34" s="111"/>
      <c r="H34" s="110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0"/>
      <c r="Z34" s="295">
        <f t="shared" si="7"/>
        <v>0</v>
      </c>
      <c r="AA34" s="298">
        <f t="shared" si="8"/>
        <v>0</v>
      </c>
      <c r="AB34" s="301" t="str">
        <f t="shared" si="9"/>
        <v>42/49</v>
      </c>
      <c r="AC34" s="338" t="str">
        <f t="shared" si="10"/>
        <v>B</v>
      </c>
      <c r="AD34" s="321" t="str">
        <f t="shared" si="11"/>
        <v>Manque 17 Cotes</v>
      </c>
    </row>
    <row r="35" spans="1:30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0"/>
      <c r="G35" s="111">
        <v>1</v>
      </c>
      <c r="H35" s="110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0"/>
      <c r="Z35" s="295">
        <f t="shared" si="7"/>
        <v>1</v>
      </c>
      <c r="AA35" s="298">
        <f t="shared" si="8"/>
        <v>9.4339622641509441E-2</v>
      </c>
      <c r="AB35" s="301" t="str">
        <f t="shared" si="9"/>
        <v>32/49</v>
      </c>
      <c r="AC35" s="338" t="str">
        <f t="shared" si="10"/>
        <v>B</v>
      </c>
      <c r="AD35" s="321" t="str">
        <f t="shared" si="11"/>
        <v>Manque 16 Cotes</v>
      </c>
    </row>
    <row r="36" spans="1:30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0"/>
      <c r="G36" s="111">
        <v>8</v>
      </c>
      <c r="H36" s="110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0"/>
      <c r="Z36" s="295">
        <f t="shared" si="7"/>
        <v>8</v>
      </c>
      <c r="AA36" s="298">
        <f t="shared" si="8"/>
        <v>0.75471698113207553</v>
      </c>
      <c r="AB36" s="301" t="str">
        <f t="shared" si="9"/>
        <v>2/49</v>
      </c>
      <c r="AC36" s="338" t="str">
        <f t="shared" si="10"/>
        <v>B</v>
      </c>
      <c r="AD36" s="321" t="str">
        <f t="shared" si="11"/>
        <v>Manque 16 Cotes</v>
      </c>
    </row>
    <row r="37" spans="1:30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0"/>
      <c r="G37" s="111">
        <v>1</v>
      </c>
      <c r="H37" s="110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0"/>
      <c r="Z37" s="295">
        <f t="shared" si="7"/>
        <v>1</v>
      </c>
      <c r="AA37" s="298">
        <f t="shared" si="8"/>
        <v>9.4339622641509441E-2</v>
      </c>
      <c r="AB37" s="301" t="str">
        <f t="shared" si="9"/>
        <v>32/49</v>
      </c>
      <c r="AC37" s="338" t="str">
        <f t="shared" si="10"/>
        <v>B</v>
      </c>
      <c r="AD37" s="321" t="str">
        <f t="shared" si="11"/>
        <v>Manque 16 Cotes</v>
      </c>
    </row>
    <row r="38" spans="1:30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0"/>
      <c r="G38" s="111">
        <v>5</v>
      </c>
      <c r="H38" s="110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0"/>
      <c r="Z38" s="295">
        <f t="shared" si="7"/>
        <v>5</v>
      </c>
      <c r="AA38" s="298">
        <f t="shared" si="8"/>
        <v>0.47169811320754718</v>
      </c>
      <c r="AB38" s="301" t="str">
        <f t="shared" si="9"/>
        <v>5/49</v>
      </c>
      <c r="AC38" s="338" t="str">
        <f t="shared" si="10"/>
        <v>B</v>
      </c>
      <c r="AD38" s="321" t="str">
        <f t="shared" si="11"/>
        <v>Manque 16 Cotes</v>
      </c>
    </row>
    <row r="39" spans="1:30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0"/>
      <c r="G39" s="111">
        <v>5</v>
      </c>
      <c r="H39" s="110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0"/>
      <c r="Z39" s="295">
        <f t="shared" si="7"/>
        <v>5</v>
      </c>
      <c r="AA39" s="298">
        <f t="shared" si="8"/>
        <v>0.47169811320754718</v>
      </c>
      <c r="AB39" s="301" t="str">
        <f t="shared" si="9"/>
        <v>5/49</v>
      </c>
      <c r="AC39" s="338" t="str">
        <f t="shared" si="10"/>
        <v>B</v>
      </c>
      <c r="AD39" s="321" t="str">
        <f t="shared" si="11"/>
        <v>Manque 16 Cotes</v>
      </c>
    </row>
    <row r="40" spans="1:30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0"/>
      <c r="G40" s="111">
        <v>5</v>
      </c>
      <c r="H40" s="110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0"/>
      <c r="Z40" s="295">
        <f t="shared" si="7"/>
        <v>5</v>
      </c>
      <c r="AA40" s="298">
        <f t="shared" si="8"/>
        <v>0.47169811320754718</v>
      </c>
      <c r="AB40" s="301" t="str">
        <f t="shared" si="9"/>
        <v>5/49</v>
      </c>
      <c r="AC40" s="338" t="str">
        <f t="shared" si="10"/>
        <v>B</v>
      </c>
      <c r="AD40" s="321" t="str">
        <f t="shared" si="11"/>
        <v>Manque 16 Cotes</v>
      </c>
    </row>
    <row r="41" spans="1:30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0"/>
      <c r="G41" s="111">
        <v>1</v>
      </c>
      <c r="H41" s="110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0"/>
      <c r="Z41" s="295">
        <f t="shared" si="7"/>
        <v>1</v>
      </c>
      <c r="AA41" s="298">
        <f t="shared" si="8"/>
        <v>9.4339622641509441E-2</v>
      </c>
      <c r="AB41" s="301" t="str">
        <f t="shared" si="9"/>
        <v>32/49</v>
      </c>
      <c r="AC41" s="338" t="str">
        <f t="shared" si="10"/>
        <v>B</v>
      </c>
      <c r="AD41" s="321" t="str">
        <f t="shared" si="11"/>
        <v>Manque 16 Cotes</v>
      </c>
    </row>
    <row r="42" spans="1:30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0"/>
      <c r="G42" s="111">
        <v>5</v>
      </c>
      <c r="H42" s="110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0"/>
      <c r="Z42" s="295">
        <f t="shared" si="7"/>
        <v>5</v>
      </c>
      <c r="AA42" s="298">
        <f t="shared" si="8"/>
        <v>0.47169811320754718</v>
      </c>
      <c r="AB42" s="301" t="str">
        <f t="shared" si="9"/>
        <v>5/49</v>
      </c>
      <c r="AC42" s="338" t="str">
        <f t="shared" si="10"/>
        <v>B</v>
      </c>
      <c r="AD42" s="321" t="str">
        <f t="shared" si="11"/>
        <v>Manque 16 Cotes</v>
      </c>
    </row>
    <row r="43" spans="1:30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0"/>
      <c r="G43" s="111">
        <v>1</v>
      </c>
      <c r="H43" s="110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0"/>
      <c r="Z43" s="295">
        <f t="shared" si="7"/>
        <v>1</v>
      </c>
      <c r="AA43" s="298">
        <f t="shared" si="8"/>
        <v>9.4339622641509441E-2</v>
      </c>
      <c r="AB43" s="301" t="str">
        <f t="shared" si="9"/>
        <v>32/49</v>
      </c>
      <c r="AC43" s="338" t="str">
        <f t="shared" si="10"/>
        <v>B</v>
      </c>
      <c r="AD43" s="321" t="str">
        <f t="shared" si="11"/>
        <v>Manque 16 Cotes</v>
      </c>
    </row>
    <row r="44" spans="1:30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0"/>
      <c r="G44" s="111">
        <v>5</v>
      </c>
      <c r="H44" s="110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0"/>
      <c r="Z44" s="295">
        <f t="shared" si="7"/>
        <v>5</v>
      </c>
      <c r="AA44" s="298">
        <f t="shared" si="8"/>
        <v>0.47169811320754718</v>
      </c>
      <c r="AB44" s="301" t="str">
        <f t="shared" si="9"/>
        <v>5/49</v>
      </c>
      <c r="AC44" s="338" t="str">
        <f t="shared" si="10"/>
        <v>B</v>
      </c>
      <c r="AD44" s="321" t="str">
        <f t="shared" si="11"/>
        <v>Manque 16 Cotes</v>
      </c>
    </row>
    <row r="45" spans="1:30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0"/>
      <c r="G45" s="111">
        <v>5</v>
      </c>
      <c r="H45" s="110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0"/>
      <c r="Z45" s="295">
        <f t="shared" si="7"/>
        <v>5</v>
      </c>
      <c r="AA45" s="298">
        <f t="shared" si="8"/>
        <v>0.47169811320754718</v>
      </c>
      <c r="AB45" s="301" t="str">
        <f t="shared" si="9"/>
        <v>5/49</v>
      </c>
      <c r="AC45" s="338" t="str">
        <f t="shared" si="10"/>
        <v>B</v>
      </c>
      <c r="AD45" s="321" t="str">
        <f t="shared" si="11"/>
        <v>Manque 16 Cotes</v>
      </c>
    </row>
    <row r="46" spans="1:30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0"/>
      <c r="G46" s="111">
        <v>5</v>
      </c>
      <c r="H46" s="110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0"/>
      <c r="Z46" s="295">
        <f t="shared" si="7"/>
        <v>5</v>
      </c>
      <c r="AA46" s="298">
        <f t="shared" si="8"/>
        <v>0.47169811320754718</v>
      </c>
      <c r="AB46" s="301" t="str">
        <f t="shared" si="9"/>
        <v>5/49</v>
      </c>
      <c r="AC46" s="338" t="str">
        <f t="shared" si="10"/>
        <v>B</v>
      </c>
      <c r="AD46" s="321" t="str">
        <f t="shared" si="11"/>
        <v>Manque 16 Cotes</v>
      </c>
    </row>
    <row r="47" spans="1:30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0"/>
      <c r="G47" s="111">
        <v>1</v>
      </c>
      <c r="H47" s="110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0"/>
      <c r="Z47" s="295">
        <f t="shared" si="7"/>
        <v>1</v>
      </c>
      <c r="AA47" s="298">
        <f t="shared" si="8"/>
        <v>9.4339622641509441E-2</v>
      </c>
      <c r="AB47" s="301" t="str">
        <f t="shared" si="9"/>
        <v>32/49</v>
      </c>
      <c r="AC47" s="338" t="str">
        <f t="shared" si="10"/>
        <v>B</v>
      </c>
      <c r="AD47" s="321" t="str">
        <f t="shared" si="11"/>
        <v>Manque 16 Cotes</v>
      </c>
    </row>
    <row r="48" spans="1:30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0"/>
      <c r="G48" s="111">
        <v>1</v>
      </c>
      <c r="H48" s="110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0"/>
      <c r="Z48" s="295">
        <f t="shared" si="7"/>
        <v>1</v>
      </c>
      <c r="AA48" s="298">
        <f t="shared" si="8"/>
        <v>9.4339622641509441E-2</v>
      </c>
      <c r="AB48" s="301" t="str">
        <f t="shared" si="9"/>
        <v>32/49</v>
      </c>
      <c r="AC48" s="338" t="str">
        <f t="shared" si="10"/>
        <v>B</v>
      </c>
      <c r="AD48" s="321" t="str">
        <f t="shared" si="11"/>
        <v>Manque 16 Cotes</v>
      </c>
    </row>
    <row r="49" spans="1:30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0"/>
      <c r="G49" s="111">
        <v>5</v>
      </c>
      <c r="H49" s="110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0"/>
      <c r="Z49" s="295">
        <f t="shared" si="7"/>
        <v>5</v>
      </c>
      <c r="AA49" s="298">
        <f t="shared" si="8"/>
        <v>0.47169811320754718</v>
      </c>
      <c r="AB49" s="301" t="str">
        <f t="shared" si="9"/>
        <v>5/49</v>
      </c>
      <c r="AC49" s="338" t="str">
        <f t="shared" si="10"/>
        <v>B</v>
      </c>
      <c r="AD49" s="321" t="str">
        <f t="shared" si="11"/>
        <v>Manque 16 Cotes</v>
      </c>
    </row>
    <row r="50" spans="1:30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0"/>
      <c r="G50" s="111">
        <v>5</v>
      </c>
      <c r="H50" s="110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0"/>
      <c r="Z50" s="295">
        <f t="shared" si="7"/>
        <v>5</v>
      </c>
      <c r="AA50" s="298">
        <f t="shared" si="8"/>
        <v>0.47169811320754718</v>
      </c>
      <c r="AB50" s="301" t="str">
        <f t="shared" si="9"/>
        <v>5/49</v>
      </c>
      <c r="AC50" s="338" t="str">
        <f t="shared" si="10"/>
        <v>B</v>
      </c>
      <c r="AD50" s="321" t="str">
        <f t="shared" si="11"/>
        <v>Manque 16 Cotes</v>
      </c>
    </row>
    <row r="51" spans="1:30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0"/>
      <c r="G51" s="111">
        <v>5</v>
      </c>
      <c r="H51" s="110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0"/>
      <c r="Z51" s="295">
        <f t="shared" si="7"/>
        <v>5</v>
      </c>
      <c r="AA51" s="298">
        <f t="shared" si="8"/>
        <v>0.47169811320754718</v>
      </c>
      <c r="AB51" s="301" t="str">
        <f t="shared" si="9"/>
        <v>5/49</v>
      </c>
      <c r="AC51" s="338" t="str">
        <f t="shared" si="10"/>
        <v>B</v>
      </c>
      <c r="AD51" s="321" t="str">
        <f t="shared" si="11"/>
        <v>Manque 16 Cotes</v>
      </c>
    </row>
    <row r="52" spans="1:30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0"/>
      <c r="G52" s="111">
        <v>5</v>
      </c>
      <c r="H52" s="110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0"/>
      <c r="Z52" s="295">
        <f t="shared" si="7"/>
        <v>5</v>
      </c>
      <c r="AA52" s="298">
        <f t="shared" si="8"/>
        <v>0.47169811320754718</v>
      </c>
      <c r="AB52" s="301" t="str">
        <f t="shared" si="9"/>
        <v>5/49</v>
      </c>
      <c r="AC52" s="338" t="str">
        <f t="shared" si="10"/>
        <v>B</v>
      </c>
      <c r="AD52" s="321" t="str">
        <f t="shared" si="11"/>
        <v>Manque 16 Cotes</v>
      </c>
    </row>
    <row r="53" spans="1:30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0"/>
      <c r="G53" s="111">
        <v>5</v>
      </c>
      <c r="H53" s="110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0"/>
      <c r="Z53" s="295">
        <f t="shared" si="7"/>
        <v>5</v>
      </c>
      <c r="AA53" s="298">
        <f t="shared" si="8"/>
        <v>0.47169811320754718</v>
      </c>
      <c r="AB53" s="301" t="str">
        <f t="shared" si="9"/>
        <v>5/49</v>
      </c>
      <c r="AC53" s="338" t="str">
        <f t="shared" si="10"/>
        <v>B</v>
      </c>
      <c r="AD53" s="321" t="str">
        <f t="shared" si="11"/>
        <v>Manque 16 Cotes</v>
      </c>
    </row>
    <row r="54" spans="1:30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0"/>
      <c r="G54" s="111">
        <v>5</v>
      </c>
      <c r="H54" s="110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0"/>
      <c r="Z54" s="295">
        <f t="shared" si="7"/>
        <v>5</v>
      </c>
      <c r="AA54" s="298">
        <f t="shared" si="8"/>
        <v>0.47169811320754718</v>
      </c>
      <c r="AB54" s="301" t="str">
        <f t="shared" si="9"/>
        <v>5/49</v>
      </c>
      <c r="AC54" s="338" t="str">
        <f t="shared" si="10"/>
        <v>B</v>
      </c>
      <c r="AD54" s="321" t="str">
        <f t="shared" si="11"/>
        <v>Manque 16 Cotes</v>
      </c>
    </row>
    <row r="55" spans="1:30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0"/>
      <c r="G55" s="111">
        <v>5</v>
      </c>
      <c r="H55" s="110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0"/>
      <c r="Z55" s="295">
        <f t="shared" si="7"/>
        <v>5</v>
      </c>
      <c r="AA55" s="298">
        <f t="shared" si="8"/>
        <v>0.47169811320754718</v>
      </c>
      <c r="AB55" s="301" t="str">
        <f t="shared" si="9"/>
        <v>5/49</v>
      </c>
      <c r="AC55" s="338" t="str">
        <f t="shared" si="10"/>
        <v>B</v>
      </c>
      <c r="AD55" s="321" t="str">
        <f t="shared" si="11"/>
        <v>Manque 16 Cotes</v>
      </c>
    </row>
    <row r="56" spans="1:30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0"/>
      <c r="G56" s="111">
        <v>5</v>
      </c>
      <c r="H56" s="110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0"/>
      <c r="Z56" s="295">
        <f t="shared" si="7"/>
        <v>5</v>
      </c>
      <c r="AA56" s="298">
        <f t="shared" si="8"/>
        <v>0.47169811320754718</v>
      </c>
      <c r="AB56" s="301" t="str">
        <f t="shared" si="9"/>
        <v>5/49</v>
      </c>
      <c r="AC56" s="338" t="str">
        <f t="shared" si="10"/>
        <v>B</v>
      </c>
      <c r="AD56" s="321" t="str">
        <f t="shared" si="11"/>
        <v>Manque 16 Cotes</v>
      </c>
    </row>
    <row r="57" spans="1:30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0"/>
      <c r="G57" s="111">
        <v>2</v>
      </c>
      <c r="H57" s="110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0"/>
      <c r="Z57" s="295">
        <f t="shared" si="7"/>
        <v>2</v>
      </c>
      <c r="AA57" s="298">
        <f t="shared" si="8"/>
        <v>0.18867924528301888</v>
      </c>
      <c r="AB57" s="301" t="str">
        <f t="shared" si="9"/>
        <v>27/49</v>
      </c>
      <c r="AC57" s="338" t="str">
        <f t="shared" si="10"/>
        <v>B</v>
      </c>
      <c r="AD57" s="321" t="str">
        <f t="shared" si="11"/>
        <v>Manque 16 Cotes</v>
      </c>
    </row>
    <row r="58" spans="1:30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0"/>
      <c r="G58" s="111">
        <v>2</v>
      </c>
      <c r="H58" s="110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0"/>
      <c r="Z58" s="295">
        <f t="shared" si="7"/>
        <v>2</v>
      </c>
      <c r="AA58" s="298">
        <f t="shared" si="8"/>
        <v>0.18867924528301888</v>
      </c>
      <c r="AB58" s="301" t="str">
        <f t="shared" si="9"/>
        <v>27/49</v>
      </c>
      <c r="AC58" s="338" t="str">
        <f t="shared" si="10"/>
        <v>B</v>
      </c>
      <c r="AD58" s="321" t="str">
        <f t="shared" si="11"/>
        <v>Manque 16 Cotes</v>
      </c>
    </row>
    <row r="59" spans="1:30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0"/>
      <c r="G59" s="111">
        <v>5</v>
      </c>
      <c r="H59" s="110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0"/>
      <c r="Z59" s="295">
        <f t="shared" si="7"/>
        <v>5</v>
      </c>
      <c r="AA59" s="298">
        <f t="shared" si="8"/>
        <v>0.47169811320754718</v>
      </c>
      <c r="AB59" s="301" t="str">
        <f t="shared" si="9"/>
        <v>5/49</v>
      </c>
      <c r="AC59" s="338" t="str">
        <f t="shared" si="10"/>
        <v>B</v>
      </c>
      <c r="AD59" s="321" t="str">
        <f t="shared" si="11"/>
        <v>Manque 16 Cotes</v>
      </c>
    </row>
    <row r="60" spans="1:30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0"/>
      <c r="G60" s="111">
        <v>1</v>
      </c>
      <c r="H60" s="110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0"/>
      <c r="Z60" s="295">
        <f t="shared" si="7"/>
        <v>1</v>
      </c>
      <c r="AA60" s="298">
        <f t="shared" si="8"/>
        <v>9.4339622641509441E-2</v>
      </c>
      <c r="AB60" s="301" t="str">
        <f t="shared" si="9"/>
        <v>32/49</v>
      </c>
      <c r="AC60" s="338" t="str">
        <f t="shared" si="10"/>
        <v>B</v>
      </c>
      <c r="AD60" s="321" t="str">
        <f t="shared" si="11"/>
        <v>Manque 16 Cotes</v>
      </c>
    </row>
    <row r="61" spans="1:30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0"/>
      <c r="G61" s="111">
        <v>1</v>
      </c>
      <c r="H61" s="110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0"/>
      <c r="Z61" s="295">
        <f t="shared" si="7"/>
        <v>1</v>
      </c>
      <c r="AA61" s="298">
        <f t="shared" si="8"/>
        <v>9.4339622641509441E-2</v>
      </c>
      <c r="AB61" s="301" t="str">
        <f t="shared" si="9"/>
        <v>32/49</v>
      </c>
      <c r="AC61" s="338" t="str">
        <f t="shared" si="10"/>
        <v>B</v>
      </c>
      <c r="AD61" s="321" t="str">
        <f t="shared" si="11"/>
        <v>Manque 16 Cotes</v>
      </c>
    </row>
    <row r="62" spans="1:30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0"/>
      <c r="G62" s="111">
        <v>2</v>
      </c>
      <c r="H62" s="110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0"/>
      <c r="Z62" s="295">
        <f t="shared" si="7"/>
        <v>2</v>
      </c>
      <c r="AA62" s="298">
        <f t="shared" si="8"/>
        <v>0.18867924528301888</v>
      </c>
      <c r="AB62" s="301" t="str">
        <f t="shared" si="9"/>
        <v>27/49</v>
      </c>
      <c r="AC62" s="338" t="str">
        <f t="shared" si="10"/>
        <v>B</v>
      </c>
      <c r="AD62" s="321" t="str">
        <f t="shared" si="11"/>
        <v>Manque 16 Cotes</v>
      </c>
    </row>
    <row r="63" spans="1:30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0"/>
      <c r="G63" s="111">
        <v>5</v>
      </c>
      <c r="H63" s="110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0"/>
      <c r="Z63" s="295">
        <f t="shared" si="7"/>
        <v>5</v>
      </c>
      <c r="AA63" s="298">
        <f t="shared" si="8"/>
        <v>0.47169811320754718</v>
      </c>
      <c r="AB63" s="301" t="str">
        <f t="shared" si="9"/>
        <v>5/49</v>
      </c>
      <c r="AC63" s="338" t="str">
        <f t="shared" si="10"/>
        <v>B</v>
      </c>
      <c r="AD63" s="321" t="str">
        <f t="shared" si="11"/>
        <v>Manque 16 Cotes</v>
      </c>
    </row>
    <row r="64" spans="1:30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0"/>
      <c r="G64" s="111">
        <v>7</v>
      </c>
      <c r="H64" s="110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0"/>
      <c r="Z64" s="295">
        <f t="shared" si="7"/>
        <v>7</v>
      </c>
      <c r="AA64" s="298">
        <f t="shared" si="8"/>
        <v>0.66037735849056611</v>
      </c>
      <c r="AB64" s="301" t="str">
        <f t="shared" si="9"/>
        <v>4/49</v>
      </c>
      <c r="AC64" s="338" t="str">
        <f t="shared" si="10"/>
        <v>B</v>
      </c>
      <c r="AD64" s="321" t="str">
        <f t="shared" si="11"/>
        <v>Manque 16 Cotes</v>
      </c>
    </row>
    <row r="65" spans="1:30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0"/>
      <c r="G65" s="111"/>
      <c r="H65" s="110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0"/>
      <c r="Z65" s="295">
        <f>IF(A65&lt;&gt;"",SUM(G65,I65:X65),"")</f>
        <v>0</v>
      </c>
      <c r="AA65" s="298">
        <f t="shared" si="8"/>
        <v>0</v>
      </c>
      <c r="AB65" s="301" t="str">
        <f t="shared" si="9"/>
        <v>42/49</v>
      </c>
      <c r="AC65" s="338" t="str">
        <f t="shared" si="10"/>
        <v>B</v>
      </c>
      <c r="AD65" s="321" t="str">
        <f t="shared" si="11"/>
        <v>Manque 17 Cotes</v>
      </c>
    </row>
    <row r="66" spans="1:30" x14ac:dyDescent="0.25">
      <c r="A66" s="153"/>
      <c r="B66" s="8"/>
      <c r="C66" s="8"/>
      <c r="D66" s="23"/>
      <c r="E66" s="51"/>
      <c r="F66" s="110"/>
      <c r="G66" s="111"/>
      <c r="H66" s="110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0"/>
      <c r="Z66" s="295">
        <f t="shared" si="7"/>
        <v>0</v>
      </c>
      <c r="AA66" s="298">
        <f t="shared" si="8"/>
        <v>0</v>
      </c>
      <c r="AB66" s="301" t="str">
        <f t="shared" si="9"/>
        <v>42/49</v>
      </c>
      <c r="AC66" s="338" t="str">
        <f t="shared" si="10"/>
        <v>B</v>
      </c>
      <c r="AD66" s="321" t="str">
        <f t="shared" si="11"/>
        <v>Manque 17 Cotes</v>
      </c>
    </row>
    <row r="67" spans="1:30" x14ac:dyDescent="0.25">
      <c r="A67" s="153"/>
      <c r="B67" s="8"/>
      <c r="C67" s="8"/>
      <c r="D67" s="23"/>
      <c r="E67" s="51"/>
      <c r="F67" s="110"/>
      <c r="G67" s="111"/>
      <c r="H67" s="110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0"/>
      <c r="Z67" s="295">
        <f t="shared" si="7"/>
        <v>0</v>
      </c>
      <c r="AA67" s="298">
        <f t="shared" si="8"/>
        <v>0</v>
      </c>
      <c r="AB67" s="301" t="str">
        <f t="shared" si="9"/>
        <v>42/49</v>
      </c>
      <c r="AC67" s="338" t="str">
        <f t="shared" si="10"/>
        <v>B</v>
      </c>
      <c r="AD67" s="321" t="str">
        <f t="shared" si="11"/>
        <v>Manque 17 Cotes</v>
      </c>
    </row>
    <row r="68" spans="1:30" x14ac:dyDescent="0.25">
      <c r="A68" s="153"/>
      <c r="B68" s="8"/>
      <c r="C68" s="8"/>
      <c r="D68" s="23"/>
      <c r="E68" s="51"/>
      <c r="F68" s="110"/>
      <c r="G68" s="111"/>
      <c r="H68" s="110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0"/>
      <c r="Z68" s="295">
        <f t="shared" si="7"/>
        <v>0</v>
      </c>
      <c r="AA68" s="298">
        <f t="shared" si="8"/>
        <v>0</v>
      </c>
      <c r="AB68" s="301" t="str">
        <f t="shared" si="9"/>
        <v>42/49</v>
      </c>
      <c r="AC68" s="338" t="str">
        <f t="shared" si="10"/>
        <v>B</v>
      </c>
      <c r="AD68" s="321" t="str">
        <f t="shared" si="11"/>
        <v>Manque 17 Cotes</v>
      </c>
    </row>
    <row r="69" spans="1:30" x14ac:dyDescent="0.25">
      <c r="A69" s="153"/>
      <c r="B69" s="8"/>
      <c r="C69" s="8"/>
      <c r="D69" s="23"/>
      <c r="E69" s="51"/>
      <c r="F69" s="110"/>
      <c r="G69" s="111"/>
      <c r="H69" s="110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0"/>
      <c r="Z69" s="295">
        <f t="shared" si="7"/>
        <v>0</v>
      </c>
      <c r="AA69" s="298">
        <f t="shared" si="8"/>
        <v>0</v>
      </c>
      <c r="AB69" s="301" t="str">
        <f t="shared" si="9"/>
        <v>42/49</v>
      </c>
      <c r="AC69" s="338" t="str">
        <f t="shared" si="10"/>
        <v>B</v>
      </c>
      <c r="AD69" s="321" t="str">
        <f t="shared" si="11"/>
        <v>Manque 17 Cotes</v>
      </c>
    </row>
    <row r="70" spans="1:30" x14ac:dyDescent="0.25">
      <c r="A70" s="153"/>
      <c r="B70" s="8"/>
      <c r="C70" s="8"/>
      <c r="D70" s="23"/>
      <c r="E70" s="51"/>
      <c r="F70" s="110"/>
      <c r="G70" s="111"/>
      <c r="H70" s="110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0"/>
      <c r="Z70" s="295">
        <f t="shared" si="7"/>
        <v>0</v>
      </c>
      <c r="AA70" s="298">
        <f t="shared" si="8"/>
        <v>0</v>
      </c>
      <c r="AB70" s="301" t="str">
        <f t="shared" si="9"/>
        <v>42/49</v>
      </c>
      <c r="AC70" s="338" t="str">
        <f t="shared" si="10"/>
        <v>B</v>
      </c>
      <c r="AD70" s="321" t="str">
        <f t="shared" si="11"/>
        <v>Manque 17 Cotes</v>
      </c>
    </row>
    <row r="71" spans="1:30" x14ac:dyDescent="0.25">
      <c r="A71" s="153"/>
      <c r="B71" s="8"/>
      <c r="C71" s="8"/>
      <c r="D71" s="23"/>
      <c r="E71" s="51"/>
      <c r="F71" s="110"/>
      <c r="G71" s="111"/>
      <c r="H71" s="110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0"/>
      <c r="Z71" s="295">
        <f t="shared" si="7"/>
        <v>0</v>
      </c>
      <c r="AA71" s="298">
        <f t="shared" si="8"/>
        <v>0</v>
      </c>
      <c r="AB71" s="301" t="str">
        <f t="shared" si="9"/>
        <v>42/49</v>
      </c>
      <c r="AC71" s="338" t="str">
        <f t="shared" si="10"/>
        <v>B</v>
      </c>
      <c r="AD71" s="321" t="str">
        <f t="shared" si="11"/>
        <v>Manque 17 Cotes</v>
      </c>
    </row>
    <row r="72" spans="1:30" x14ac:dyDescent="0.25">
      <c r="A72" s="153"/>
      <c r="B72" s="8"/>
      <c r="C72" s="8"/>
      <c r="D72" s="23"/>
      <c r="E72" s="51"/>
      <c r="F72" s="110"/>
      <c r="G72" s="111"/>
      <c r="H72" s="110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0"/>
      <c r="Z72" s="295">
        <f t="shared" si="7"/>
        <v>0</v>
      </c>
      <c r="AA72" s="298">
        <f t="shared" si="8"/>
        <v>0</v>
      </c>
      <c r="AB72" s="301" t="str">
        <f t="shared" si="9"/>
        <v>42/49</v>
      </c>
      <c r="AC72" s="338" t="str">
        <f t="shared" si="10"/>
        <v>B</v>
      </c>
      <c r="AD72" s="321" t="str">
        <f t="shared" si="11"/>
        <v>Manque 17 Cotes</v>
      </c>
    </row>
    <row r="73" spans="1:30" x14ac:dyDescent="0.25">
      <c r="A73" s="153"/>
      <c r="B73" s="8"/>
      <c r="C73" s="8"/>
      <c r="D73" s="23"/>
      <c r="E73" s="51"/>
      <c r="F73" s="110"/>
      <c r="G73" s="111"/>
      <c r="H73" s="110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0"/>
      <c r="Z73" s="295">
        <f t="shared" si="7"/>
        <v>0</v>
      </c>
      <c r="AA73" s="298">
        <f t="shared" si="8"/>
        <v>0</v>
      </c>
      <c r="AB73" s="301" t="str">
        <f t="shared" si="9"/>
        <v>42/49</v>
      </c>
      <c r="AC73" s="338" t="str">
        <f t="shared" si="10"/>
        <v>B</v>
      </c>
      <c r="AD73" s="321" t="str">
        <f t="shared" si="11"/>
        <v>Manque 17 Cotes</v>
      </c>
    </row>
    <row r="74" spans="1:30" x14ac:dyDescent="0.25">
      <c r="A74" s="153"/>
      <c r="B74" s="8"/>
      <c r="C74" s="8"/>
      <c r="D74" s="23"/>
      <c r="E74" s="51"/>
      <c r="F74" s="110"/>
      <c r="G74" s="111"/>
      <c r="H74" s="110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0"/>
      <c r="Z74" s="295">
        <f t="shared" si="7"/>
        <v>0</v>
      </c>
      <c r="AA74" s="298">
        <f t="shared" si="8"/>
        <v>0</v>
      </c>
      <c r="AB74" s="301" t="str">
        <f t="shared" si="9"/>
        <v>42/49</v>
      </c>
      <c r="AC74" s="338" t="str">
        <f t="shared" si="10"/>
        <v>B</v>
      </c>
      <c r="AD74" s="321" t="str">
        <f t="shared" si="11"/>
        <v>Manque 17 Cotes</v>
      </c>
    </row>
    <row r="75" spans="1:30" x14ac:dyDescent="0.25">
      <c r="A75" s="153"/>
      <c r="B75" s="8"/>
      <c r="C75" s="8"/>
      <c r="D75" s="23"/>
      <c r="E75" s="51"/>
      <c r="F75" s="110"/>
      <c r="G75" s="111"/>
      <c r="H75" s="110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0"/>
      <c r="Z75" s="295">
        <f t="shared" si="7"/>
        <v>0</v>
      </c>
      <c r="AA75" s="298">
        <f t="shared" si="8"/>
        <v>0</v>
      </c>
      <c r="AB75" s="301" t="str">
        <f t="shared" si="9"/>
        <v>42/49</v>
      </c>
      <c r="AC75" s="338" t="str">
        <f t="shared" si="10"/>
        <v>B</v>
      </c>
      <c r="AD75" s="321" t="str">
        <f t="shared" si="11"/>
        <v>Manque 17 Cotes</v>
      </c>
    </row>
    <row r="76" spans="1:30" x14ac:dyDescent="0.25">
      <c r="A76" s="153"/>
      <c r="B76" s="8"/>
      <c r="C76" s="8"/>
      <c r="D76" s="23"/>
      <c r="E76" s="51"/>
      <c r="F76" s="110"/>
      <c r="G76" s="111"/>
      <c r="H76" s="110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0"/>
      <c r="Z76" s="295">
        <f t="shared" si="7"/>
        <v>0</v>
      </c>
      <c r="AA76" s="298">
        <f t="shared" si="8"/>
        <v>0</v>
      </c>
      <c r="AB76" s="301" t="str">
        <f t="shared" si="9"/>
        <v>42/49</v>
      </c>
      <c r="AC76" s="338" t="str">
        <f t="shared" si="10"/>
        <v>B</v>
      </c>
      <c r="AD76" s="321" t="str">
        <f t="shared" si="11"/>
        <v>Manque 17 Cotes</v>
      </c>
    </row>
    <row r="77" spans="1:30" x14ac:dyDescent="0.25">
      <c r="A77" s="153"/>
      <c r="B77" s="8"/>
      <c r="C77" s="8"/>
      <c r="D77" s="23"/>
      <c r="E77" s="51"/>
      <c r="F77" s="110"/>
      <c r="G77" s="111"/>
      <c r="H77" s="110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0"/>
      <c r="Z77" s="295">
        <f t="shared" si="7"/>
        <v>0</v>
      </c>
      <c r="AA77" s="298">
        <f t="shared" si="8"/>
        <v>0</v>
      </c>
      <c r="AB77" s="301" t="str">
        <f t="shared" si="9"/>
        <v>42/49</v>
      </c>
      <c r="AC77" s="338" t="str">
        <f t="shared" si="10"/>
        <v>B</v>
      </c>
      <c r="AD77" s="321" t="str">
        <f t="shared" si="11"/>
        <v>Manque 17 Cotes</v>
      </c>
    </row>
    <row r="78" spans="1:30" x14ac:dyDescent="0.25">
      <c r="A78" s="153"/>
      <c r="B78" s="8"/>
      <c r="C78" s="8"/>
      <c r="D78" s="23"/>
      <c r="E78" s="51"/>
      <c r="F78" s="110"/>
      <c r="G78" s="111"/>
      <c r="H78" s="110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0"/>
      <c r="Z78" s="295">
        <f t="shared" si="7"/>
        <v>0</v>
      </c>
      <c r="AA78" s="298">
        <f t="shared" si="8"/>
        <v>0</v>
      </c>
      <c r="AB78" s="301" t="str">
        <f t="shared" si="9"/>
        <v>42/49</v>
      </c>
      <c r="AC78" s="338" t="str">
        <f t="shared" si="10"/>
        <v>B</v>
      </c>
      <c r="AD78" s="321" t="str">
        <f t="shared" si="11"/>
        <v>Manque 17 Cotes</v>
      </c>
    </row>
    <row r="79" spans="1:30" x14ac:dyDescent="0.25">
      <c r="A79" s="153"/>
      <c r="B79" s="8"/>
      <c r="C79" s="8"/>
      <c r="D79" s="23"/>
      <c r="E79" s="51"/>
      <c r="F79" s="110"/>
      <c r="G79" s="111"/>
      <c r="H79" s="110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0"/>
      <c r="Z79" s="295">
        <f t="shared" si="7"/>
        <v>0</v>
      </c>
      <c r="AA79" s="298">
        <f t="shared" si="8"/>
        <v>0</v>
      </c>
      <c r="AB79" s="301" t="str">
        <f t="shared" si="9"/>
        <v>42/49</v>
      </c>
      <c r="AC79" s="338" t="str">
        <f t="shared" si="10"/>
        <v>B</v>
      </c>
      <c r="AD79" s="321" t="str">
        <f t="shared" si="11"/>
        <v>Manque 17 Cotes</v>
      </c>
    </row>
    <row r="80" spans="1:30" x14ac:dyDescent="0.25">
      <c r="A80" s="153"/>
      <c r="B80" s="8"/>
      <c r="C80" s="8"/>
      <c r="D80" s="23"/>
      <c r="E80" s="51"/>
      <c r="F80" s="110"/>
      <c r="G80" s="111"/>
      <c r="H80" s="110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0"/>
      <c r="Z80" s="295">
        <f t="shared" si="7"/>
        <v>0</v>
      </c>
      <c r="AA80" s="298">
        <f t="shared" si="8"/>
        <v>0</v>
      </c>
      <c r="AB80" s="301" t="str">
        <f t="shared" si="9"/>
        <v>42/49</v>
      </c>
      <c r="AC80" s="338" t="str">
        <f t="shared" si="10"/>
        <v>B</v>
      </c>
      <c r="AD80" s="321" t="str">
        <f t="shared" si="11"/>
        <v>Manque 17 Cotes</v>
      </c>
    </row>
    <row r="81" spans="1:30" x14ac:dyDescent="0.25">
      <c r="A81" s="153"/>
      <c r="B81" s="8"/>
      <c r="C81" s="8"/>
      <c r="D81" s="23"/>
      <c r="E81" s="51"/>
      <c r="F81" s="110"/>
      <c r="G81" s="111"/>
      <c r="H81" s="110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0"/>
      <c r="Z81" s="295">
        <f t="shared" si="7"/>
        <v>0</v>
      </c>
      <c r="AA81" s="298">
        <f t="shared" si="8"/>
        <v>0</v>
      </c>
      <c r="AB81" s="301" t="str">
        <f t="shared" si="9"/>
        <v>42/49</v>
      </c>
      <c r="AC81" s="338" t="str">
        <f t="shared" si="10"/>
        <v>B</v>
      </c>
      <c r="AD81" s="321" t="str">
        <f t="shared" si="11"/>
        <v>Manque 17 Cotes</v>
      </c>
    </row>
    <row r="82" spans="1:30" x14ac:dyDescent="0.25">
      <c r="A82" s="153"/>
      <c r="B82" s="8"/>
      <c r="C82" s="8"/>
      <c r="D82" s="23"/>
      <c r="E82" s="51"/>
      <c r="F82" s="110"/>
      <c r="G82" s="111"/>
      <c r="H82" s="110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0"/>
      <c r="Z82" s="295">
        <f t="shared" ref="Z82:Z122" si="12">SUM(G82,I82:X82)</f>
        <v>0</v>
      </c>
      <c r="AA82" s="298">
        <f t="shared" ref="AA82:AA122" si="13">(Z82/$Z$15)*100</f>
        <v>0</v>
      </c>
      <c r="AB82" s="301" t="str">
        <f t="shared" ref="AB82:AB122" si="14">RANK(AA82,AA$17:AA$122,0) &amp;"/"&amp; COUNTA($B$17:$B$122)</f>
        <v>42/49</v>
      </c>
      <c r="AC82" s="338" t="str">
        <f t="shared" ref="AC82:AC122" si="15">IF(AA82&gt;60,"TB","B")</f>
        <v>B</v>
      </c>
      <c r="AD82" s="321" t="str">
        <f t="shared" ref="AD82:AD122" si="16">IF(COUNTIF(F82:Y82,"")&gt;3,"Manque " &amp; COUNTIF(F82:Y82,"") - 3 &amp; " Cotes","RAS")</f>
        <v>Manque 17 Cotes</v>
      </c>
    </row>
    <row r="83" spans="1:30" x14ac:dyDescent="0.25">
      <c r="A83" s="153"/>
      <c r="B83" s="8"/>
      <c r="C83" s="8"/>
      <c r="D83" s="23"/>
      <c r="E83" s="51"/>
      <c r="F83" s="110"/>
      <c r="G83" s="111"/>
      <c r="H83" s="110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0"/>
      <c r="Z83" s="295">
        <f t="shared" si="12"/>
        <v>0</v>
      </c>
      <c r="AA83" s="298">
        <f t="shared" si="13"/>
        <v>0</v>
      </c>
      <c r="AB83" s="301" t="str">
        <f t="shared" si="14"/>
        <v>42/49</v>
      </c>
      <c r="AC83" s="338" t="str">
        <f t="shared" si="15"/>
        <v>B</v>
      </c>
      <c r="AD83" s="321" t="str">
        <f t="shared" si="16"/>
        <v>Manque 17 Cotes</v>
      </c>
    </row>
    <row r="84" spans="1:30" x14ac:dyDescent="0.25">
      <c r="A84" s="153"/>
      <c r="B84" s="8"/>
      <c r="C84" s="8"/>
      <c r="D84" s="23"/>
      <c r="E84" s="51"/>
      <c r="F84" s="110"/>
      <c r="G84" s="111"/>
      <c r="H84" s="110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0"/>
      <c r="Z84" s="295">
        <f t="shared" si="12"/>
        <v>0</v>
      </c>
      <c r="AA84" s="298">
        <f t="shared" si="13"/>
        <v>0</v>
      </c>
      <c r="AB84" s="301" t="str">
        <f t="shared" si="14"/>
        <v>42/49</v>
      </c>
      <c r="AC84" s="338" t="str">
        <f t="shared" si="15"/>
        <v>B</v>
      </c>
      <c r="AD84" s="321" t="str">
        <f t="shared" si="16"/>
        <v>Manque 17 Cotes</v>
      </c>
    </row>
    <row r="85" spans="1:30" x14ac:dyDescent="0.25">
      <c r="A85" s="153"/>
      <c r="B85" s="8"/>
      <c r="C85" s="8"/>
      <c r="D85" s="23"/>
      <c r="E85" s="51"/>
      <c r="F85" s="110"/>
      <c r="G85" s="111"/>
      <c r="H85" s="110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0"/>
      <c r="Z85" s="295">
        <f t="shared" si="12"/>
        <v>0</v>
      </c>
      <c r="AA85" s="298">
        <f t="shared" si="13"/>
        <v>0</v>
      </c>
      <c r="AB85" s="301" t="str">
        <f t="shared" si="14"/>
        <v>42/49</v>
      </c>
      <c r="AC85" s="338" t="str">
        <f t="shared" si="15"/>
        <v>B</v>
      </c>
      <c r="AD85" s="321" t="str">
        <f t="shared" si="16"/>
        <v>Manque 17 Cotes</v>
      </c>
    </row>
    <row r="86" spans="1:30" x14ac:dyDescent="0.25">
      <c r="A86" s="153"/>
      <c r="B86" s="8"/>
      <c r="C86" s="8"/>
      <c r="D86" s="23"/>
      <c r="E86" s="51"/>
      <c r="F86" s="110"/>
      <c r="G86" s="111"/>
      <c r="H86" s="110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0"/>
      <c r="Z86" s="295">
        <f t="shared" si="12"/>
        <v>0</v>
      </c>
      <c r="AA86" s="298">
        <f t="shared" si="13"/>
        <v>0</v>
      </c>
      <c r="AB86" s="301" t="str">
        <f t="shared" si="14"/>
        <v>42/49</v>
      </c>
      <c r="AC86" s="338" t="str">
        <f t="shared" si="15"/>
        <v>B</v>
      </c>
      <c r="AD86" s="321" t="str">
        <f t="shared" si="16"/>
        <v>Manque 17 Cotes</v>
      </c>
    </row>
    <row r="87" spans="1:30" x14ac:dyDescent="0.25">
      <c r="A87" s="153"/>
      <c r="B87" s="8"/>
      <c r="C87" s="8"/>
      <c r="D87" s="23"/>
      <c r="E87" s="51"/>
      <c r="F87" s="110"/>
      <c r="G87" s="111"/>
      <c r="H87" s="110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0"/>
      <c r="Z87" s="295">
        <f t="shared" si="12"/>
        <v>0</v>
      </c>
      <c r="AA87" s="298">
        <f t="shared" si="13"/>
        <v>0</v>
      </c>
      <c r="AB87" s="301" t="str">
        <f t="shared" si="14"/>
        <v>42/49</v>
      </c>
      <c r="AC87" s="338" t="str">
        <f t="shared" si="15"/>
        <v>B</v>
      </c>
      <c r="AD87" s="321" t="str">
        <f t="shared" si="16"/>
        <v>Manque 17 Cotes</v>
      </c>
    </row>
    <row r="88" spans="1:30" x14ac:dyDescent="0.25">
      <c r="A88" s="153"/>
      <c r="B88" s="8"/>
      <c r="C88" s="8"/>
      <c r="D88" s="23"/>
      <c r="E88" s="51"/>
      <c r="F88" s="110"/>
      <c r="G88" s="111"/>
      <c r="H88" s="110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0"/>
      <c r="Z88" s="295">
        <f t="shared" si="12"/>
        <v>0</v>
      </c>
      <c r="AA88" s="298">
        <f t="shared" si="13"/>
        <v>0</v>
      </c>
      <c r="AB88" s="301" t="str">
        <f t="shared" si="14"/>
        <v>42/49</v>
      </c>
      <c r="AC88" s="338" t="str">
        <f t="shared" si="15"/>
        <v>B</v>
      </c>
      <c r="AD88" s="321" t="str">
        <f t="shared" si="16"/>
        <v>Manque 17 Cotes</v>
      </c>
    </row>
    <row r="89" spans="1:30" x14ac:dyDescent="0.25">
      <c r="A89" s="153"/>
      <c r="B89" s="8"/>
      <c r="C89" s="8"/>
      <c r="D89" s="23"/>
      <c r="E89" s="51"/>
      <c r="F89" s="110"/>
      <c r="G89" s="111"/>
      <c r="H89" s="110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0"/>
      <c r="Z89" s="295">
        <f t="shared" si="12"/>
        <v>0</v>
      </c>
      <c r="AA89" s="298">
        <f t="shared" si="13"/>
        <v>0</v>
      </c>
      <c r="AB89" s="301" t="str">
        <f t="shared" si="14"/>
        <v>42/49</v>
      </c>
      <c r="AC89" s="338" t="str">
        <f t="shared" si="15"/>
        <v>B</v>
      </c>
      <c r="AD89" s="321" t="str">
        <f t="shared" si="16"/>
        <v>Manque 17 Cotes</v>
      </c>
    </row>
    <row r="90" spans="1:30" x14ac:dyDescent="0.25">
      <c r="A90" s="153"/>
      <c r="B90" s="8"/>
      <c r="C90" s="8"/>
      <c r="D90" s="23"/>
      <c r="E90" s="51"/>
      <c r="F90" s="110"/>
      <c r="G90" s="111"/>
      <c r="H90" s="110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0"/>
      <c r="Z90" s="295">
        <f t="shared" si="12"/>
        <v>0</v>
      </c>
      <c r="AA90" s="298">
        <f t="shared" si="13"/>
        <v>0</v>
      </c>
      <c r="AB90" s="301" t="str">
        <f t="shared" si="14"/>
        <v>42/49</v>
      </c>
      <c r="AC90" s="338" t="str">
        <f t="shared" si="15"/>
        <v>B</v>
      </c>
      <c r="AD90" s="321" t="str">
        <f t="shared" si="16"/>
        <v>Manque 17 Cotes</v>
      </c>
    </row>
    <row r="91" spans="1:30" x14ac:dyDescent="0.25">
      <c r="A91" s="153"/>
      <c r="B91" s="8"/>
      <c r="C91" s="8"/>
      <c r="D91" s="23"/>
      <c r="E91" s="51"/>
      <c r="F91" s="110"/>
      <c r="G91" s="111"/>
      <c r="H91" s="110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0"/>
      <c r="Z91" s="295">
        <f t="shared" si="12"/>
        <v>0</v>
      </c>
      <c r="AA91" s="298">
        <f t="shared" si="13"/>
        <v>0</v>
      </c>
      <c r="AB91" s="301" t="str">
        <f t="shared" si="14"/>
        <v>42/49</v>
      </c>
      <c r="AC91" s="338" t="str">
        <f t="shared" si="15"/>
        <v>B</v>
      </c>
      <c r="AD91" s="321" t="str">
        <f t="shared" si="16"/>
        <v>Manque 17 Cotes</v>
      </c>
    </row>
    <row r="92" spans="1:30" x14ac:dyDescent="0.25">
      <c r="A92" s="153"/>
      <c r="B92" s="8"/>
      <c r="C92" s="8"/>
      <c r="D92" s="23"/>
      <c r="E92" s="51"/>
      <c r="F92" s="110"/>
      <c r="G92" s="111"/>
      <c r="H92" s="110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0"/>
      <c r="Z92" s="295">
        <f t="shared" si="12"/>
        <v>0</v>
      </c>
      <c r="AA92" s="298">
        <f t="shared" si="13"/>
        <v>0</v>
      </c>
      <c r="AB92" s="301" t="str">
        <f t="shared" si="14"/>
        <v>42/49</v>
      </c>
      <c r="AC92" s="338" t="str">
        <f t="shared" si="15"/>
        <v>B</v>
      </c>
      <c r="AD92" s="321" t="str">
        <f t="shared" si="16"/>
        <v>Manque 17 Cotes</v>
      </c>
    </row>
    <row r="93" spans="1:30" x14ac:dyDescent="0.25">
      <c r="A93" s="153"/>
      <c r="B93" s="8"/>
      <c r="C93" s="8"/>
      <c r="D93" s="23"/>
      <c r="E93" s="51"/>
      <c r="F93" s="110"/>
      <c r="G93" s="111"/>
      <c r="H93" s="110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0"/>
      <c r="Z93" s="295">
        <f t="shared" si="12"/>
        <v>0</v>
      </c>
      <c r="AA93" s="298">
        <f t="shared" si="13"/>
        <v>0</v>
      </c>
      <c r="AB93" s="301" t="str">
        <f t="shared" si="14"/>
        <v>42/49</v>
      </c>
      <c r="AC93" s="338" t="str">
        <f t="shared" si="15"/>
        <v>B</v>
      </c>
      <c r="AD93" s="321" t="str">
        <f t="shared" si="16"/>
        <v>Manque 17 Cotes</v>
      </c>
    </row>
    <row r="94" spans="1:30" x14ac:dyDescent="0.25">
      <c r="A94" s="153"/>
      <c r="B94" s="8"/>
      <c r="C94" s="8"/>
      <c r="D94" s="23"/>
      <c r="E94" s="51"/>
      <c r="F94" s="110"/>
      <c r="G94" s="111"/>
      <c r="H94" s="11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0"/>
      <c r="Z94" s="295">
        <f t="shared" si="12"/>
        <v>0</v>
      </c>
      <c r="AA94" s="298">
        <f t="shared" si="13"/>
        <v>0</v>
      </c>
      <c r="AB94" s="301" t="str">
        <f t="shared" si="14"/>
        <v>42/49</v>
      </c>
      <c r="AC94" s="338" t="str">
        <f t="shared" si="15"/>
        <v>B</v>
      </c>
      <c r="AD94" s="321" t="str">
        <f t="shared" si="16"/>
        <v>Manque 17 Cotes</v>
      </c>
    </row>
    <row r="95" spans="1:30" x14ac:dyDescent="0.25">
      <c r="A95" s="153"/>
      <c r="B95" s="8"/>
      <c r="C95" s="8"/>
      <c r="D95" s="23"/>
      <c r="E95" s="51"/>
      <c r="F95" s="110"/>
      <c r="G95" s="111"/>
      <c r="H95" s="11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0"/>
      <c r="Z95" s="295">
        <f t="shared" si="12"/>
        <v>0</v>
      </c>
      <c r="AA95" s="298">
        <f t="shared" si="13"/>
        <v>0</v>
      </c>
      <c r="AB95" s="301" t="str">
        <f t="shared" si="14"/>
        <v>42/49</v>
      </c>
      <c r="AC95" s="338" t="str">
        <f t="shared" si="15"/>
        <v>B</v>
      </c>
      <c r="AD95" s="321" t="str">
        <f t="shared" si="16"/>
        <v>Manque 17 Cotes</v>
      </c>
    </row>
    <row r="96" spans="1:30" x14ac:dyDescent="0.25">
      <c r="A96" s="153"/>
      <c r="B96" s="8"/>
      <c r="C96" s="8"/>
      <c r="D96" s="23"/>
      <c r="E96" s="51"/>
      <c r="F96" s="110"/>
      <c r="G96" s="111"/>
      <c r="H96" s="11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0"/>
      <c r="Z96" s="295">
        <f t="shared" si="12"/>
        <v>0</v>
      </c>
      <c r="AA96" s="298">
        <f t="shared" si="13"/>
        <v>0</v>
      </c>
      <c r="AB96" s="301" t="str">
        <f t="shared" si="14"/>
        <v>42/49</v>
      </c>
      <c r="AC96" s="338" t="str">
        <f t="shared" si="15"/>
        <v>B</v>
      </c>
      <c r="AD96" s="321" t="str">
        <f t="shared" si="16"/>
        <v>Manque 17 Cotes</v>
      </c>
    </row>
    <row r="97" spans="1:30" x14ac:dyDescent="0.25">
      <c r="A97" s="153"/>
      <c r="B97" s="8"/>
      <c r="C97" s="8"/>
      <c r="D97" s="23"/>
      <c r="E97" s="51"/>
      <c r="F97" s="110"/>
      <c r="G97" s="111"/>
      <c r="H97" s="11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0"/>
      <c r="Z97" s="295">
        <f t="shared" si="12"/>
        <v>0</v>
      </c>
      <c r="AA97" s="298">
        <f t="shared" si="13"/>
        <v>0</v>
      </c>
      <c r="AB97" s="301" t="str">
        <f t="shared" si="14"/>
        <v>42/49</v>
      </c>
      <c r="AC97" s="338" t="str">
        <f t="shared" si="15"/>
        <v>B</v>
      </c>
      <c r="AD97" s="321" t="str">
        <f t="shared" si="16"/>
        <v>Manque 17 Cotes</v>
      </c>
    </row>
    <row r="98" spans="1:30" x14ac:dyDescent="0.25">
      <c r="A98" s="153"/>
      <c r="B98" s="8"/>
      <c r="C98" s="8"/>
      <c r="D98" s="23"/>
      <c r="E98" s="51"/>
      <c r="F98" s="110"/>
      <c r="G98" s="111"/>
      <c r="H98" s="11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0"/>
      <c r="Z98" s="295">
        <f t="shared" si="12"/>
        <v>0</v>
      </c>
      <c r="AA98" s="298">
        <f t="shared" si="13"/>
        <v>0</v>
      </c>
      <c r="AB98" s="301" t="str">
        <f t="shared" si="14"/>
        <v>42/49</v>
      </c>
      <c r="AC98" s="338" t="str">
        <f t="shared" si="15"/>
        <v>B</v>
      </c>
      <c r="AD98" s="321" t="str">
        <f t="shared" si="16"/>
        <v>Manque 17 Cotes</v>
      </c>
    </row>
    <row r="99" spans="1:30" x14ac:dyDescent="0.25">
      <c r="A99" s="153"/>
      <c r="B99" s="8"/>
      <c r="C99" s="8"/>
      <c r="D99" s="23"/>
      <c r="E99" s="51"/>
      <c r="F99" s="110"/>
      <c r="G99" s="111"/>
      <c r="H99" s="110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0"/>
      <c r="Z99" s="295">
        <f t="shared" si="12"/>
        <v>0</v>
      </c>
      <c r="AA99" s="298">
        <f t="shared" si="13"/>
        <v>0</v>
      </c>
      <c r="AB99" s="301" t="str">
        <f t="shared" si="14"/>
        <v>42/49</v>
      </c>
      <c r="AC99" s="338" t="str">
        <f t="shared" si="15"/>
        <v>B</v>
      </c>
      <c r="AD99" s="321" t="str">
        <f t="shared" si="16"/>
        <v>Manque 17 Cotes</v>
      </c>
    </row>
    <row r="100" spans="1:30" x14ac:dyDescent="0.25">
      <c r="A100" s="153"/>
      <c r="B100" s="8"/>
      <c r="C100" s="8"/>
      <c r="D100" s="23"/>
      <c r="E100" s="51"/>
      <c r="F100" s="110"/>
      <c r="G100" s="111"/>
      <c r="H100" s="110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0"/>
      <c r="Z100" s="295">
        <f t="shared" si="12"/>
        <v>0</v>
      </c>
      <c r="AA100" s="298">
        <f t="shared" si="13"/>
        <v>0</v>
      </c>
      <c r="AB100" s="301" t="str">
        <f t="shared" si="14"/>
        <v>42/49</v>
      </c>
      <c r="AC100" s="338" t="str">
        <f t="shared" si="15"/>
        <v>B</v>
      </c>
      <c r="AD100" s="321" t="str">
        <f t="shared" si="16"/>
        <v>Manque 17 Cotes</v>
      </c>
    </row>
    <row r="101" spans="1:30" x14ac:dyDescent="0.25">
      <c r="A101" s="153"/>
      <c r="B101" s="8"/>
      <c r="C101" s="8"/>
      <c r="D101" s="23"/>
      <c r="E101" s="51"/>
      <c r="F101" s="110"/>
      <c r="G101" s="111"/>
      <c r="H101" s="110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0"/>
      <c r="Z101" s="295">
        <f t="shared" si="12"/>
        <v>0</v>
      </c>
      <c r="AA101" s="298">
        <f t="shared" si="13"/>
        <v>0</v>
      </c>
      <c r="AB101" s="301" t="str">
        <f t="shared" si="14"/>
        <v>42/49</v>
      </c>
      <c r="AC101" s="338" t="str">
        <f t="shared" si="15"/>
        <v>B</v>
      </c>
      <c r="AD101" s="321" t="str">
        <f t="shared" si="16"/>
        <v>Manque 17 Cotes</v>
      </c>
    </row>
    <row r="102" spans="1:30" x14ac:dyDescent="0.25">
      <c r="A102" s="153"/>
      <c r="B102" s="8"/>
      <c r="C102" s="8"/>
      <c r="D102" s="23"/>
      <c r="E102" s="51"/>
      <c r="F102" s="110"/>
      <c r="G102" s="111"/>
      <c r="H102" s="110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0"/>
      <c r="Z102" s="295">
        <f t="shared" si="12"/>
        <v>0</v>
      </c>
      <c r="AA102" s="298">
        <f t="shared" si="13"/>
        <v>0</v>
      </c>
      <c r="AB102" s="301" t="str">
        <f t="shared" si="14"/>
        <v>42/49</v>
      </c>
      <c r="AC102" s="338" t="str">
        <f t="shared" si="15"/>
        <v>B</v>
      </c>
      <c r="AD102" s="321" t="str">
        <f t="shared" si="16"/>
        <v>Manque 17 Cotes</v>
      </c>
    </row>
    <row r="103" spans="1:30" x14ac:dyDescent="0.25">
      <c r="A103" s="153"/>
      <c r="B103" s="8"/>
      <c r="C103" s="8"/>
      <c r="D103" s="23"/>
      <c r="E103" s="51"/>
      <c r="F103" s="110"/>
      <c r="G103" s="111"/>
      <c r="H103" s="110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0"/>
      <c r="Z103" s="295">
        <f t="shared" si="12"/>
        <v>0</v>
      </c>
      <c r="AA103" s="298">
        <f t="shared" si="13"/>
        <v>0</v>
      </c>
      <c r="AB103" s="301" t="str">
        <f t="shared" si="14"/>
        <v>42/49</v>
      </c>
      <c r="AC103" s="338" t="str">
        <f t="shared" si="15"/>
        <v>B</v>
      </c>
      <c r="AD103" s="321" t="str">
        <f t="shared" si="16"/>
        <v>Manque 17 Cotes</v>
      </c>
    </row>
    <row r="104" spans="1:30" x14ac:dyDescent="0.25">
      <c r="A104" s="153"/>
      <c r="B104" s="8"/>
      <c r="C104" s="8"/>
      <c r="D104" s="23"/>
      <c r="E104" s="51"/>
      <c r="F104" s="110"/>
      <c r="G104" s="111"/>
      <c r="H104" s="110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0"/>
      <c r="Z104" s="295">
        <f t="shared" si="12"/>
        <v>0</v>
      </c>
      <c r="AA104" s="298">
        <f t="shared" si="13"/>
        <v>0</v>
      </c>
      <c r="AB104" s="301" t="str">
        <f t="shared" si="14"/>
        <v>42/49</v>
      </c>
      <c r="AC104" s="338" t="str">
        <f t="shared" si="15"/>
        <v>B</v>
      </c>
      <c r="AD104" s="321" t="str">
        <f t="shared" si="16"/>
        <v>Manque 17 Cotes</v>
      </c>
    </row>
    <row r="105" spans="1:30" x14ac:dyDescent="0.25">
      <c r="A105" s="153"/>
      <c r="B105" s="8"/>
      <c r="C105" s="8"/>
      <c r="D105" s="23"/>
      <c r="E105" s="51"/>
      <c r="F105" s="110"/>
      <c r="G105" s="111"/>
      <c r="H105" s="110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0"/>
      <c r="Z105" s="295">
        <f t="shared" si="12"/>
        <v>0</v>
      </c>
      <c r="AA105" s="298">
        <f t="shared" si="13"/>
        <v>0</v>
      </c>
      <c r="AB105" s="301" t="str">
        <f t="shared" si="14"/>
        <v>42/49</v>
      </c>
      <c r="AC105" s="338" t="str">
        <f t="shared" si="15"/>
        <v>B</v>
      </c>
      <c r="AD105" s="321" t="str">
        <f t="shared" si="16"/>
        <v>Manque 17 Cotes</v>
      </c>
    </row>
    <row r="106" spans="1:30" x14ac:dyDescent="0.25">
      <c r="A106" s="153"/>
      <c r="B106" s="8"/>
      <c r="C106" s="8"/>
      <c r="D106" s="23"/>
      <c r="E106" s="51"/>
      <c r="F106" s="110"/>
      <c r="G106" s="111"/>
      <c r="H106" s="110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0"/>
      <c r="Z106" s="295">
        <f t="shared" si="12"/>
        <v>0</v>
      </c>
      <c r="AA106" s="298">
        <f t="shared" si="13"/>
        <v>0</v>
      </c>
      <c r="AB106" s="301" t="str">
        <f t="shared" si="14"/>
        <v>42/49</v>
      </c>
      <c r="AC106" s="338" t="str">
        <f t="shared" si="15"/>
        <v>B</v>
      </c>
      <c r="AD106" s="321" t="str">
        <f t="shared" si="16"/>
        <v>Manque 17 Cotes</v>
      </c>
    </row>
    <row r="107" spans="1:30" x14ac:dyDescent="0.25">
      <c r="A107" s="153"/>
      <c r="B107" s="8"/>
      <c r="C107" s="8"/>
      <c r="D107" s="23"/>
      <c r="E107" s="51"/>
      <c r="F107" s="110"/>
      <c r="G107" s="111"/>
      <c r="H107" s="110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0"/>
      <c r="Z107" s="295">
        <f t="shared" si="12"/>
        <v>0</v>
      </c>
      <c r="AA107" s="298">
        <f t="shared" si="13"/>
        <v>0</v>
      </c>
      <c r="AB107" s="301" t="str">
        <f t="shared" si="14"/>
        <v>42/49</v>
      </c>
      <c r="AC107" s="338" t="str">
        <f t="shared" si="15"/>
        <v>B</v>
      </c>
      <c r="AD107" s="321" t="str">
        <f t="shared" si="16"/>
        <v>Manque 17 Cotes</v>
      </c>
    </row>
    <row r="108" spans="1:30" x14ac:dyDescent="0.25">
      <c r="A108" s="153"/>
      <c r="B108" s="8"/>
      <c r="C108" s="8"/>
      <c r="D108" s="23"/>
      <c r="E108" s="51"/>
      <c r="F108" s="110"/>
      <c r="G108" s="111"/>
      <c r="H108" s="110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0"/>
      <c r="Z108" s="295">
        <f t="shared" si="12"/>
        <v>0</v>
      </c>
      <c r="AA108" s="298">
        <f t="shared" si="13"/>
        <v>0</v>
      </c>
      <c r="AB108" s="301" t="str">
        <f t="shared" si="14"/>
        <v>42/49</v>
      </c>
      <c r="AC108" s="338" t="str">
        <f t="shared" si="15"/>
        <v>B</v>
      </c>
      <c r="AD108" s="321" t="str">
        <f t="shared" si="16"/>
        <v>Manque 17 Cotes</v>
      </c>
    </row>
    <row r="109" spans="1:30" x14ac:dyDescent="0.25">
      <c r="A109" s="153"/>
      <c r="B109" s="8"/>
      <c r="C109" s="8"/>
      <c r="D109" s="23"/>
      <c r="E109" s="51"/>
      <c r="F109" s="110"/>
      <c r="G109" s="111"/>
      <c r="H109" s="110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0"/>
      <c r="Z109" s="295">
        <f t="shared" si="12"/>
        <v>0</v>
      </c>
      <c r="AA109" s="298">
        <f t="shared" si="13"/>
        <v>0</v>
      </c>
      <c r="AB109" s="301" t="str">
        <f t="shared" si="14"/>
        <v>42/49</v>
      </c>
      <c r="AC109" s="338" t="str">
        <f t="shared" si="15"/>
        <v>B</v>
      </c>
      <c r="AD109" s="321" t="str">
        <f t="shared" si="16"/>
        <v>Manque 17 Cotes</v>
      </c>
    </row>
    <row r="110" spans="1:30" x14ac:dyDescent="0.25">
      <c r="A110" s="153"/>
      <c r="B110" s="8"/>
      <c r="C110" s="8"/>
      <c r="D110" s="23"/>
      <c r="E110" s="51"/>
      <c r="F110" s="110"/>
      <c r="G110" s="111"/>
      <c r="H110" s="110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0"/>
      <c r="Z110" s="295">
        <f t="shared" si="12"/>
        <v>0</v>
      </c>
      <c r="AA110" s="298">
        <f t="shared" si="13"/>
        <v>0</v>
      </c>
      <c r="AB110" s="301" t="str">
        <f t="shared" si="14"/>
        <v>42/49</v>
      </c>
      <c r="AC110" s="338" t="str">
        <f t="shared" si="15"/>
        <v>B</v>
      </c>
      <c r="AD110" s="321" t="str">
        <f t="shared" si="16"/>
        <v>Manque 17 Cotes</v>
      </c>
    </row>
    <row r="111" spans="1:30" x14ac:dyDescent="0.25">
      <c r="A111" s="153"/>
      <c r="B111" s="8"/>
      <c r="C111" s="8"/>
      <c r="D111" s="23"/>
      <c r="E111" s="51"/>
      <c r="F111" s="110"/>
      <c r="G111" s="111"/>
      <c r="H111" s="110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0"/>
      <c r="Z111" s="295">
        <f t="shared" si="12"/>
        <v>0</v>
      </c>
      <c r="AA111" s="298">
        <f t="shared" si="13"/>
        <v>0</v>
      </c>
      <c r="AB111" s="301" t="str">
        <f t="shared" si="14"/>
        <v>42/49</v>
      </c>
      <c r="AC111" s="338" t="str">
        <f t="shared" si="15"/>
        <v>B</v>
      </c>
      <c r="AD111" s="321" t="str">
        <f t="shared" si="16"/>
        <v>Manque 17 Cotes</v>
      </c>
    </row>
    <row r="112" spans="1:30" x14ac:dyDescent="0.25">
      <c r="A112" s="153"/>
      <c r="B112" s="8"/>
      <c r="C112" s="8"/>
      <c r="D112" s="23"/>
      <c r="E112" s="51"/>
      <c r="F112" s="110"/>
      <c r="G112" s="111"/>
      <c r="H112" s="110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0"/>
      <c r="Z112" s="295">
        <f t="shared" si="12"/>
        <v>0</v>
      </c>
      <c r="AA112" s="298">
        <f t="shared" si="13"/>
        <v>0</v>
      </c>
      <c r="AB112" s="301" t="str">
        <f t="shared" si="14"/>
        <v>42/49</v>
      </c>
      <c r="AC112" s="338" t="str">
        <f t="shared" si="15"/>
        <v>B</v>
      </c>
      <c r="AD112" s="321" t="str">
        <f t="shared" si="16"/>
        <v>Manque 17 Cotes</v>
      </c>
    </row>
    <row r="113" spans="1:30" x14ac:dyDescent="0.25">
      <c r="A113" s="153"/>
      <c r="B113" s="8"/>
      <c r="C113" s="8"/>
      <c r="D113" s="23"/>
      <c r="E113" s="51"/>
      <c r="F113" s="110"/>
      <c r="G113" s="111"/>
      <c r="H113" s="110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0"/>
      <c r="Z113" s="295">
        <f t="shared" si="12"/>
        <v>0</v>
      </c>
      <c r="AA113" s="298">
        <f t="shared" si="13"/>
        <v>0</v>
      </c>
      <c r="AB113" s="301" t="str">
        <f t="shared" si="14"/>
        <v>42/49</v>
      </c>
      <c r="AC113" s="338" t="str">
        <f t="shared" si="15"/>
        <v>B</v>
      </c>
      <c r="AD113" s="321" t="str">
        <f t="shared" si="16"/>
        <v>Manque 17 Cotes</v>
      </c>
    </row>
    <row r="114" spans="1:30" x14ac:dyDescent="0.25">
      <c r="A114" s="153"/>
      <c r="B114" s="8"/>
      <c r="C114" s="8"/>
      <c r="D114" s="23"/>
      <c r="E114" s="51"/>
      <c r="F114" s="110"/>
      <c r="G114" s="111"/>
      <c r="H114" s="110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0"/>
      <c r="Z114" s="295">
        <f t="shared" si="12"/>
        <v>0</v>
      </c>
      <c r="AA114" s="298">
        <f t="shared" si="13"/>
        <v>0</v>
      </c>
      <c r="AB114" s="301" t="str">
        <f t="shared" si="14"/>
        <v>42/49</v>
      </c>
      <c r="AC114" s="338" t="str">
        <f t="shared" si="15"/>
        <v>B</v>
      </c>
      <c r="AD114" s="321" t="str">
        <f t="shared" si="16"/>
        <v>Manque 17 Cotes</v>
      </c>
    </row>
    <row r="115" spans="1:30" x14ac:dyDescent="0.25">
      <c r="A115" s="153"/>
      <c r="B115" s="8"/>
      <c r="C115" s="8"/>
      <c r="D115" s="23"/>
      <c r="E115" s="51"/>
      <c r="F115" s="110"/>
      <c r="G115" s="111"/>
      <c r="H115" s="110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0"/>
      <c r="Z115" s="295">
        <f t="shared" si="12"/>
        <v>0</v>
      </c>
      <c r="AA115" s="298">
        <f t="shared" si="13"/>
        <v>0</v>
      </c>
      <c r="AB115" s="301" t="str">
        <f t="shared" si="14"/>
        <v>42/49</v>
      </c>
      <c r="AC115" s="338" t="str">
        <f t="shared" si="15"/>
        <v>B</v>
      </c>
      <c r="AD115" s="321" t="str">
        <f t="shared" si="16"/>
        <v>Manque 17 Cotes</v>
      </c>
    </row>
    <row r="116" spans="1:30" x14ac:dyDescent="0.25">
      <c r="A116" s="153"/>
      <c r="B116" s="8"/>
      <c r="C116" s="8"/>
      <c r="D116" s="23"/>
      <c r="E116" s="51"/>
      <c r="F116" s="110"/>
      <c r="G116" s="111"/>
      <c r="H116" s="110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0"/>
      <c r="Z116" s="295">
        <f t="shared" si="12"/>
        <v>0</v>
      </c>
      <c r="AA116" s="298">
        <f t="shared" si="13"/>
        <v>0</v>
      </c>
      <c r="AB116" s="301" t="str">
        <f t="shared" si="14"/>
        <v>42/49</v>
      </c>
      <c r="AC116" s="338" t="str">
        <f t="shared" si="15"/>
        <v>B</v>
      </c>
      <c r="AD116" s="321" t="str">
        <f t="shared" si="16"/>
        <v>Manque 17 Cotes</v>
      </c>
    </row>
    <row r="117" spans="1:30" x14ac:dyDescent="0.25">
      <c r="A117" s="153"/>
      <c r="B117" s="8"/>
      <c r="C117" s="8"/>
      <c r="D117" s="23"/>
      <c r="E117" s="51"/>
      <c r="F117" s="110"/>
      <c r="G117" s="111"/>
      <c r="H117" s="110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0"/>
      <c r="Z117" s="295">
        <f t="shared" si="12"/>
        <v>0</v>
      </c>
      <c r="AA117" s="298">
        <f t="shared" si="13"/>
        <v>0</v>
      </c>
      <c r="AB117" s="301" t="str">
        <f t="shared" si="14"/>
        <v>42/49</v>
      </c>
      <c r="AC117" s="338" t="str">
        <f t="shared" si="15"/>
        <v>B</v>
      </c>
      <c r="AD117" s="321" t="str">
        <f t="shared" si="16"/>
        <v>Manque 17 Cotes</v>
      </c>
    </row>
    <row r="118" spans="1:30" x14ac:dyDescent="0.25">
      <c r="A118" s="153"/>
      <c r="B118" s="8"/>
      <c r="C118" s="8"/>
      <c r="D118" s="23"/>
      <c r="E118" s="51"/>
      <c r="F118" s="110"/>
      <c r="G118" s="111"/>
      <c r="H118" s="110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0"/>
      <c r="Z118" s="295">
        <f t="shared" si="12"/>
        <v>0</v>
      </c>
      <c r="AA118" s="298">
        <f t="shared" si="13"/>
        <v>0</v>
      </c>
      <c r="AB118" s="301" t="str">
        <f t="shared" si="14"/>
        <v>42/49</v>
      </c>
      <c r="AC118" s="338" t="str">
        <f t="shared" si="15"/>
        <v>B</v>
      </c>
      <c r="AD118" s="321" t="str">
        <f t="shared" si="16"/>
        <v>Manque 17 Cotes</v>
      </c>
    </row>
    <row r="119" spans="1:30" x14ac:dyDescent="0.25">
      <c r="A119" s="153"/>
      <c r="B119" s="8"/>
      <c r="C119" s="8"/>
      <c r="D119" s="23"/>
      <c r="E119" s="51"/>
      <c r="F119" s="110"/>
      <c r="G119" s="111"/>
      <c r="H119" s="110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0"/>
      <c r="Z119" s="295">
        <f t="shared" si="12"/>
        <v>0</v>
      </c>
      <c r="AA119" s="298">
        <f t="shared" si="13"/>
        <v>0</v>
      </c>
      <c r="AB119" s="301" t="str">
        <f t="shared" si="14"/>
        <v>42/49</v>
      </c>
      <c r="AC119" s="338" t="str">
        <f t="shared" si="15"/>
        <v>B</v>
      </c>
      <c r="AD119" s="321" t="str">
        <f t="shared" si="16"/>
        <v>Manque 17 Cotes</v>
      </c>
    </row>
    <row r="120" spans="1:30" x14ac:dyDescent="0.25">
      <c r="A120" s="153"/>
      <c r="B120" s="8"/>
      <c r="C120" s="8"/>
      <c r="D120" s="23"/>
      <c r="E120" s="51"/>
      <c r="F120" s="110"/>
      <c r="G120" s="111"/>
      <c r="H120" s="110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0"/>
      <c r="Z120" s="295">
        <f t="shared" si="12"/>
        <v>0</v>
      </c>
      <c r="AA120" s="298">
        <f t="shared" si="13"/>
        <v>0</v>
      </c>
      <c r="AB120" s="301" t="str">
        <f t="shared" si="14"/>
        <v>42/49</v>
      </c>
      <c r="AC120" s="338" t="str">
        <f t="shared" si="15"/>
        <v>B</v>
      </c>
      <c r="AD120" s="321" t="str">
        <f t="shared" si="16"/>
        <v>Manque 17 Cotes</v>
      </c>
    </row>
    <row r="121" spans="1:30" x14ac:dyDescent="0.25">
      <c r="A121" s="153"/>
      <c r="B121" s="8"/>
      <c r="C121" s="8"/>
      <c r="D121" s="23"/>
      <c r="E121" s="51"/>
      <c r="F121" s="110"/>
      <c r="G121" s="111"/>
      <c r="H121" s="110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0"/>
      <c r="Z121" s="295">
        <f t="shared" si="12"/>
        <v>0</v>
      </c>
      <c r="AA121" s="298">
        <f t="shared" si="13"/>
        <v>0</v>
      </c>
      <c r="AB121" s="301" t="str">
        <f t="shared" si="14"/>
        <v>42/49</v>
      </c>
      <c r="AC121" s="338" t="str">
        <f t="shared" si="15"/>
        <v>B</v>
      </c>
      <c r="AD121" s="321" t="str">
        <f t="shared" si="16"/>
        <v>Manque 17 Cotes</v>
      </c>
    </row>
    <row r="122" spans="1:30" ht="15.75" thickBot="1" x14ac:dyDescent="0.3">
      <c r="A122" s="154"/>
      <c r="B122" s="9"/>
      <c r="C122" s="9"/>
      <c r="D122" s="25"/>
      <c r="E122" s="44"/>
      <c r="F122" s="116"/>
      <c r="G122" s="115"/>
      <c r="H122" s="116"/>
      <c r="I122" s="115"/>
      <c r="J122" s="115"/>
      <c r="K122" s="115"/>
      <c r="L122" s="115"/>
      <c r="M122" s="115"/>
      <c r="N122" s="115"/>
      <c r="O122" s="115"/>
      <c r="P122" s="115"/>
      <c r="Q122" s="115"/>
      <c r="R122" s="115"/>
      <c r="S122" s="115"/>
      <c r="T122" s="115"/>
      <c r="U122" s="115"/>
      <c r="V122" s="115"/>
      <c r="W122" s="115"/>
      <c r="X122" s="115"/>
      <c r="Y122" s="116"/>
      <c r="Z122" s="296">
        <f t="shared" si="12"/>
        <v>0</v>
      </c>
      <c r="AA122" s="299">
        <f t="shared" si="13"/>
        <v>0</v>
      </c>
      <c r="AB122" s="301" t="str">
        <f t="shared" si="14"/>
        <v>42/49</v>
      </c>
      <c r="AC122" s="338" t="str">
        <f t="shared" si="15"/>
        <v>B</v>
      </c>
      <c r="AD122" s="322" t="str">
        <f t="shared" si="16"/>
        <v>Manque 17 Cotes</v>
      </c>
    </row>
  </sheetData>
  <sheetProtection selectLockedCells="1"/>
  <mergeCells count="1">
    <mergeCell ref="F13:Q13"/>
  </mergeCells>
  <conditionalFormatting sqref="G17:G122">
    <cfRule type="cellIs" dxfId="20" priority="13" operator="lessThan">
      <formula>10</formula>
    </cfRule>
  </conditionalFormatting>
  <conditionalFormatting sqref="I17:I122">
    <cfRule type="cellIs" dxfId="19" priority="12" operator="lessThan">
      <formula>10</formula>
    </cfRule>
  </conditionalFormatting>
  <conditionalFormatting sqref="J17:K122">
    <cfRule type="cellIs" dxfId="18" priority="3" operator="lessThan">
      <formula>5</formula>
    </cfRule>
  </conditionalFormatting>
  <conditionalFormatting sqref="L17:M122">
    <cfRule type="cellIs" dxfId="17" priority="11" operator="lessThan">
      <formula>15</formula>
    </cfRule>
  </conditionalFormatting>
  <conditionalFormatting sqref="N17:N122">
    <cfRule type="cellIs" dxfId="16" priority="10" operator="lessThan">
      <formula>5</formula>
    </cfRule>
  </conditionalFormatting>
  <conditionalFormatting sqref="O17:O122">
    <cfRule type="cellIs" dxfId="15" priority="9" operator="lessThan">
      <formula>15</formula>
    </cfRule>
  </conditionalFormatting>
  <conditionalFormatting sqref="P17:P122">
    <cfRule type="cellIs" dxfId="14" priority="8" operator="lessThan">
      <formula>25</formula>
    </cfRule>
  </conditionalFormatting>
  <conditionalFormatting sqref="Q17:S122">
    <cfRule type="cellIs" dxfId="13" priority="7" operator="lessThan">
      <formula>10</formula>
    </cfRule>
  </conditionalFormatting>
  <conditionalFormatting sqref="T17:T122">
    <cfRule type="cellIs" dxfId="12" priority="6" operator="lessThan">
      <formula>5</formula>
    </cfRule>
  </conditionalFormatting>
  <conditionalFormatting sqref="U17:V122">
    <cfRule type="cellIs" dxfId="11" priority="5" operator="lessThan">
      <formula>10</formula>
    </cfRule>
  </conditionalFormatting>
  <conditionalFormatting sqref="W17:X122">
    <cfRule type="cellIs" dxfId="10" priority="4" operator="lessThan">
      <formula>5</formula>
    </cfRule>
  </conditionalFormatting>
  <conditionalFormatting sqref="E17:E122">
    <cfRule type="containsText" dxfId="9" priority="1" operator="containsText" text="Abandon">
      <formula>NOT(ISERROR(SEARCH("Abandon",E17)))</formula>
    </cfRule>
    <cfRule type="expression" dxfId="8" priority="2">
      <formula>E17 = "Abandon"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06FB6-892A-4634-96AD-4F65A3B256D9}">
  <sheetPr codeName="Feuil12"/>
  <dimension ref="A1:AE122"/>
  <sheetViews>
    <sheetView zoomScale="80" zoomScaleNormal="80" workbookViewId="0">
      <selection activeCell="L14" sqref="L14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8" width="5.7109375" customWidth="1"/>
    <col min="9" max="9" width="7" bestFit="1" customWidth="1"/>
    <col min="10" max="10" width="5.7109375" customWidth="1"/>
    <col min="11" max="11" width="6.42578125" bestFit="1" customWidth="1"/>
    <col min="12" max="12" width="6.42578125" customWidth="1"/>
    <col min="13" max="13" width="18.28515625" customWidth="1"/>
    <col min="30" max="30" width="6.140625" customWidth="1"/>
  </cols>
  <sheetData>
    <row r="1" spans="1:31" ht="8.25" customHeight="1" x14ac:dyDescent="0.25"/>
    <row r="2" spans="1:31" ht="24" thickBot="1" x14ac:dyDescent="0.4">
      <c r="B2" s="80" t="str">
        <f>DashBoard!S7</f>
        <v>2ème HTS</v>
      </c>
      <c r="C2" s="81"/>
      <c r="D2" s="81"/>
      <c r="E2" s="81"/>
    </row>
    <row r="3" spans="1:31" ht="24" thickBot="1" x14ac:dyDescent="0.4">
      <c r="B3" s="82" t="s">
        <v>153</v>
      </c>
      <c r="C3" s="83"/>
      <c r="D3" s="84"/>
      <c r="E3" s="81"/>
      <c r="F3" s="105"/>
      <c r="G3" s="105"/>
      <c r="H3" s="105"/>
      <c r="I3" s="105"/>
      <c r="J3" s="105"/>
      <c r="K3" s="105"/>
      <c r="L3" s="105"/>
      <c r="M3" s="105"/>
    </row>
    <row r="4" spans="1:31" ht="8.25" customHeight="1" thickBot="1" x14ac:dyDescent="0.4">
      <c r="C4" s="87"/>
      <c r="D4" s="87"/>
      <c r="E4" s="87"/>
      <c r="F4" s="105"/>
      <c r="G4" s="87"/>
      <c r="H4" s="87"/>
      <c r="I4" s="87"/>
      <c r="J4" s="87"/>
      <c r="K4" s="87"/>
      <c r="L4" s="87"/>
      <c r="M4" s="87"/>
    </row>
    <row r="5" spans="1:31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2"/>
    </row>
    <row r="6" spans="1:31" x14ac:dyDescent="0.25">
      <c r="A6" s="88"/>
      <c r="B6" s="91" t="s">
        <v>164</v>
      </c>
      <c r="C6" s="92"/>
      <c r="D6" s="93"/>
      <c r="E6" s="93"/>
      <c r="F6" s="141">
        <f t="shared" ref="F6:H6" si="0">IFERROR(COUNTIF(F17:F122,"&gt;="&amp;F15/2),0)</f>
        <v>0</v>
      </c>
      <c r="G6" s="141">
        <f t="shared" si="0"/>
        <v>0</v>
      </c>
      <c r="H6" s="141">
        <f t="shared" si="0"/>
        <v>0</v>
      </c>
      <c r="I6" s="93"/>
      <c r="J6" s="93"/>
      <c r="K6" s="93"/>
      <c r="L6" s="93"/>
      <c r="M6" s="94"/>
    </row>
    <row r="7" spans="1:31" x14ac:dyDescent="0.25">
      <c r="A7" s="88"/>
      <c r="B7" s="95" t="s">
        <v>165</v>
      </c>
      <c r="C7" s="90"/>
      <c r="D7" s="109"/>
      <c r="E7" s="109"/>
      <c r="F7" s="145">
        <f t="shared" ref="F7:H7" si="1">IFERROR(COUNTIF(F17:F122,"&lt;"&amp;F15/2),0)</f>
        <v>49</v>
      </c>
      <c r="G7" s="145">
        <f t="shared" si="1"/>
        <v>49</v>
      </c>
      <c r="H7" s="145">
        <f t="shared" si="1"/>
        <v>49</v>
      </c>
      <c r="I7" s="109"/>
      <c r="J7" s="109"/>
      <c r="K7" s="109"/>
      <c r="L7" s="109"/>
      <c r="M7" s="96"/>
    </row>
    <row r="8" spans="1:31" s="85" customFormat="1" x14ac:dyDescent="0.25">
      <c r="A8" s="88"/>
      <c r="B8" s="95" t="s">
        <v>166</v>
      </c>
      <c r="C8" s="90"/>
      <c r="D8" s="109"/>
      <c r="E8" s="109"/>
      <c r="F8" s="145">
        <f>IFERROR(IF((COUNTIF(F17:F122,"") - (COUNTIF(F17:F122,"") - COUNTA(#REF!)))-COUNTA(F17:F122)&lt;0,0,(COUNTIF(F17:F122,"") - (COUNTIF(F17:F122,"") - COUNTA(#REF!)))-COUNTA(F17:F122)),0)</f>
        <v>0</v>
      </c>
      <c r="G8" s="145">
        <f>IFERROR(IF((COUNTIF(G17:G122,"") - (COUNTIF(G17:G122,"") - COUNTA(#REF!)))-COUNTA(G17:G122)&lt;0,0,(COUNTIF(G17:G122,"") - (COUNTIF(G17:G122,"") - COUNTA(#REF!)))-COUNTA(G17:G122)),0)</f>
        <v>0</v>
      </c>
      <c r="H8" s="145">
        <f>IFERROR(IF((COUNTIF(H17:H122,"") - (COUNTIF(H17:H122,"") - COUNTA(#REF!)))-COUNTA(H17:H122)&lt;0,0,(COUNTIF(H17:H122,"") - (COUNTIF(H17:H122,"") - COUNTA(#REF!)))-COUNTA(H17:H122)),0)</f>
        <v>0</v>
      </c>
      <c r="I8" s="109"/>
      <c r="J8" s="109"/>
      <c r="K8" s="109"/>
      <c r="L8" s="109"/>
      <c r="M8" s="96"/>
    </row>
    <row r="9" spans="1:31" s="85" customFormat="1" x14ac:dyDescent="0.25">
      <c r="A9" s="88"/>
      <c r="B9" s="95" t="s">
        <v>167</v>
      </c>
      <c r="C9" s="90"/>
      <c r="D9" s="109"/>
      <c r="E9" s="109"/>
      <c r="F9" s="145">
        <f>IFERROR(SUM(#REF!),0)</f>
        <v>0</v>
      </c>
      <c r="G9" s="145">
        <f>IFERROR(SUM(#REF!),0)</f>
        <v>0</v>
      </c>
      <c r="H9" s="145">
        <f>IFERROR(SUM(#REF!),0)</f>
        <v>0</v>
      </c>
      <c r="I9" s="109"/>
      <c r="J9" s="109"/>
      <c r="K9" s="109"/>
      <c r="L9" s="109"/>
      <c r="M9" s="96"/>
    </row>
    <row r="10" spans="1:31" x14ac:dyDescent="0.25">
      <c r="A10" s="88"/>
      <c r="B10" s="95" t="s">
        <v>168</v>
      </c>
      <c r="C10" s="90"/>
      <c r="D10" s="109"/>
      <c r="E10" s="109"/>
      <c r="F10" s="145">
        <f t="shared" ref="F10:G10" si="2">IFERROR(F6/(F6+F7)*100,0)</f>
        <v>0</v>
      </c>
      <c r="G10" s="145">
        <f t="shared" si="2"/>
        <v>0</v>
      </c>
      <c r="H10" s="145" t="s">
        <v>194</v>
      </c>
      <c r="I10" s="109"/>
      <c r="J10" s="109"/>
      <c r="K10" s="109"/>
      <c r="L10" s="109"/>
      <c r="M10" s="96"/>
    </row>
    <row r="11" spans="1:31" x14ac:dyDescent="0.25">
      <c r="A11" s="88"/>
      <c r="B11" s="95" t="s">
        <v>169</v>
      </c>
      <c r="C11" s="90"/>
      <c r="D11" s="109"/>
      <c r="E11" s="109"/>
      <c r="F11" s="145">
        <f t="shared" ref="F11:H11" si="3">IFERROR(F7/(F6+F7)*100,0)</f>
        <v>100</v>
      </c>
      <c r="G11" s="145">
        <f t="shared" si="3"/>
        <v>100</v>
      </c>
      <c r="H11" s="145">
        <f t="shared" si="3"/>
        <v>100</v>
      </c>
      <c r="I11" s="109"/>
      <c r="J11" s="109"/>
      <c r="K11" s="109"/>
      <c r="L11" s="109"/>
      <c r="M11" s="96"/>
    </row>
    <row r="12" spans="1:31" ht="15.75" thickBot="1" x14ac:dyDescent="0.3">
      <c r="A12" s="88"/>
      <c r="B12" s="97" t="s">
        <v>170</v>
      </c>
      <c r="C12" s="98"/>
      <c r="D12" s="99"/>
      <c r="E12" s="99"/>
      <c r="F12" s="149">
        <f t="shared" ref="F12:H12" si="4">IFERROR(AVERAGE(F17:F122),0)</f>
        <v>3.306122448979592</v>
      </c>
      <c r="G12" s="149">
        <f t="shared" si="4"/>
        <v>3.306122448979592</v>
      </c>
      <c r="H12" s="149">
        <f t="shared" si="4"/>
        <v>3.306122448979592</v>
      </c>
      <c r="I12" s="99"/>
      <c r="J12" s="99"/>
      <c r="K12" s="99"/>
      <c r="L12" s="99"/>
      <c r="M12" s="100"/>
    </row>
    <row r="13" spans="1:31" ht="15.75" thickBot="1" x14ac:dyDescent="0.3">
      <c r="A13" s="88"/>
      <c r="C13" s="89"/>
      <c r="D13" s="89"/>
      <c r="E13" s="89"/>
    </row>
    <row r="14" spans="1:31" ht="73.5" thickBot="1" x14ac:dyDescent="0.75">
      <c r="A14" s="121"/>
      <c r="B14" s="122" t="s">
        <v>157</v>
      </c>
      <c r="C14" s="123"/>
      <c r="D14" s="258" t="s">
        <v>258</v>
      </c>
      <c r="E14" s="244" t="s">
        <v>221</v>
      </c>
      <c r="F14" s="114" t="s">
        <v>33</v>
      </c>
      <c r="G14" s="114" t="s">
        <v>34</v>
      </c>
      <c r="H14" s="114" t="s">
        <v>35</v>
      </c>
      <c r="I14" s="112" t="s">
        <v>158</v>
      </c>
      <c r="J14" s="112" t="s">
        <v>159</v>
      </c>
      <c r="K14" s="114" t="s">
        <v>160</v>
      </c>
      <c r="L14" s="114" t="s">
        <v>236</v>
      </c>
      <c r="M14" s="138" t="s">
        <v>193</v>
      </c>
      <c r="AD14" s="53" t="s">
        <v>236</v>
      </c>
      <c r="AE14" t="s">
        <v>193</v>
      </c>
    </row>
    <row r="15" spans="1:31" ht="16.5" thickBot="1" x14ac:dyDescent="0.3">
      <c r="A15" s="124"/>
      <c r="B15" s="125" t="s">
        <v>173</v>
      </c>
      <c r="C15" s="126"/>
      <c r="D15" s="108"/>
      <c r="E15" s="108"/>
      <c r="F15" s="247">
        <f>'P1'!Z15</f>
        <v>530</v>
      </c>
      <c r="G15" s="247">
        <f>'P2'!Z15</f>
        <v>530</v>
      </c>
      <c r="H15" s="247">
        <f>EXAM1!Z15</f>
        <v>1060</v>
      </c>
      <c r="I15" s="302">
        <f>SUM(F15:H15)</f>
        <v>2120</v>
      </c>
      <c r="J15" s="303"/>
      <c r="K15" s="248"/>
      <c r="L15" s="248"/>
      <c r="M15" s="249"/>
      <c r="AD15" s="51"/>
    </row>
    <row r="16" spans="1:31" ht="15.75" thickBot="1" x14ac:dyDescent="0.3">
      <c r="A16" s="304" t="s">
        <v>172</v>
      </c>
      <c r="B16" s="304" t="s">
        <v>161</v>
      </c>
      <c r="C16" s="304" t="s">
        <v>162</v>
      </c>
      <c r="D16" s="305" t="s">
        <v>163</v>
      </c>
      <c r="E16" s="306"/>
      <c r="F16" s="307">
        <v>1</v>
      </c>
      <c r="G16" s="307">
        <v>2</v>
      </c>
      <c r="H16" s="307">
        <v>3</v>
      </c>
      <c r="I16" s="308"/>
      <c r="J16" s="308"/>
      <c r="K16" s="309"/>
      <c r="L16" s="309"/>
      <c r="M16" s="310"/>
      <c r="AD16" s="51"/>
    </row>
    <row r="17" spans="1:30" ht="15.75" thickBot="1" x14ac:dyDescent="0.3">
      <c r="A17" s="152" t="s">
        <v>142</v>
      </c>
      <c r="B17" s="51" t="s">
        <v>48</v>
      </c>
      <c r="C17" s="51" t="s">
        <v>255</v>
      </c>
      <c r="E17" s="53" t="s">
        <v>144</v>
      </c>
      <c r="F17" s="127">
        <v>0</v>
      </c>
      <c r="G17" s="127">
        <v>0</v>
      </c>
      <c r="H17" s="127">
        <v>0</v>
      </c>
      <c r="I17" s="294">
        <f>SUM(F17:H17)</f>
        <v>0</v>
      </c>
      <c r="J17" s="298">
        <f>(I17/$I$15)*100</f>
        <v>0</v>
      </c>
      <c r="K17" s="301" t="str">
        <f>RANK(J17,J$17:J$122,0) &amp;"/"&amp; COUNTA($B$17:$B$122)</f>
        <v>42/49</v>
      </c>
      <c r="L17" s="339" t="str">
        <f>IF(AA17&gt;60,"TB","B")</f>
        <v>B</v>
      </c>
      <c r="M17" s="139" t="str">
        <f>IF(J17&gt;=DashBoard!$O$11,"Pass","Echoue")</f>
        <v>Echoue</v>
      </c>
      <c r="AD17" s="338" t="str">
        <f>IF(AB17&gt;60,"TB","B")</f>
        <v>B</v>
      </c>
    </row>
    <row r="18" spans="1:30" ht="15.75" thickBot="1" x14ac:dyDescent="0.3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1">
        <v>0</v>
      </c>
      <c r="G18" s="111">
        <v>0</v>
      </c>
      <c r="H18" s="111">
        <v>0</v>
      </c>
      <c r="I18" s="294">
        <f t="shared" ref="I18:I81" si="5">SUM(F18:H18)</f>
        <v>0</v>
      </c>
      <c r="J18" s="298">
        <f t="shared" ref="J18:J81" si="6">(I18/$I$15)*100</f>
        <v>0</v>
      </c>
      <c r="K18" s="301" t="str">
        <f t="shared" ref="K18:K81" si="7">RANK(J18,J$17:J$122,0) &amp;"/"&amp; COUNTA($B$17:$B$122)</f>
        <v>42/49</v>
      </c>
      <c r="L18" s="339" t="str">
        <f t="shared" ref="L18:L81" si="8">IF(AA18&gt;60,"TB","B")</f>
        <v>B</v>
      </c>
      <c r="M18" s="139" t="str">
        <f>IF(J18&gt;=DashBoard!$O$11,"Pass","Echoue")</f>
        <v>Echoue</v>
      </c>
      <c r="AD18" s="338" t="str">
        <f t="shared" ref="AD18:AD81" si="9">IF(AB18&gt;60,"TB","B")</f>
        <v>B</v>
      </c>
    </row>
    <row r="19" spans="1:30" ht="15.75" thickBot="1" x14ac:dyDescent="0.3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1">
        <v>0</v>
      </c>
      <c r="G19" s="111">
        <v>0</v>
      </c>
      <c r="H19" s="111">
        <v>0</v>
      </c>
      <c r="I19" s="294">
        <f t="shared" si="5"/>
        <v>0</v>
      </c>
      <c r="J19" s="298">
        <f t="shared" si="6"/>
        <v>0</v>
      </c>
      <c r="K19" s="301" t="str">
        <f t="shared" si="7"/>
        <v>42/49</v>
      </c>
      <c r="L19" s="339" t="str">
        <f t="shared" si="8"/>
        <v>B</v>
      </c>
      <c r="M19" s="139" t="str">
        <f>IF(J19&gt;=DashBoard!$O$11,"Pass","Echoue")</f>
        <v>Echoue</v>
      </c>
      <c r="AD19" s="338" t="str">
        <f t="shared" si="9"/>
        <v>B</v>
      </c>
    </row>
    <row r="20" spans="1:30" ht="15.75" thickBot="1" x14ac:dyDescent="0.3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1">
        <v>0</v>
      </c>
      <c r="G20" s="111">
        <v>0</v>
      </c>
      <c r="H20" s="111">
        <v>0</v>
      </c>
      <c r="I20" s="294">
        <f t="shared" si="5"/>
        <v>0</v>
      </c>
      <c r="J20" s="298">
        <f t="shared" si="6"/>
        <v>0</v>
      </c>
      <c r="K20" s="301" t="str">
        <f t="shared" si="7"/>
        <v>42/49</v>
      </c>
      <c r="L20" s="339" t="str">
        <f t="shared" si="8"/>
        <v>B</v>
      </c>
      <c r="M20" s="139" t="str">
        <f>IF(J20&gt;=DashBoard!$O$11,"Pass","Echoue")</f>
        <v>Echoue</v>
      </c>
      <c r="AD20" s="338" t="str">
        <f t="shared" si="9"/>
        <v>B</v>
      </c>
    </row>
    <row r="21" spans="1:30" ht="15.75" thickBot="1" x14ac:dyDescent="0.3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1">
        <v>8</v>
      </c>
      <c r="G21" s="111">
        <v>8</v>
      </c>
      <c r="H21" s="111">
        <v>8</v>
      </c>
      <c r="I21" s="294">
        <f t="shared" si="5"/>
        <v>24</v>
      </c>
      <c r="J21" s="298">
        <f t="shared" si="6"/>
        <v>1.1320754716981132</v>
      </c>
      <c r="K21" s="301" t="str">
        <f t="shared" si="7"/>
        <v>2/49</v>
      </c>
      <c r="L21" s="339" t="str">
        <f t="shared" si="8"/>
        <v>B</v>
      </c>
      <c r="M21" s="139" t="str">
        <f>IF(J21&gt;=DashBoard!$O$11,"Pass","Echoue")</f>
        <v>Echoue</v>
      </c>
      <c r="AD21" s="338" t="str">
        <f t="shared" si="9"/>
        <v>B</v>
      </c>
    </row>
    <row r="22" spans="1:30" ht="15.75" thickBot="1" x14ac:dyDescent="0.3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1">
        <v>2</v>
      </c>
      <c r="G22" s="111">
        <v>2</v>
      </c>
      <c r="H22" s="111">
        <v>2</v>
      </c>
      <c r="I22" s="294">
        <f t="shared" si="5"/>
        <v>6</v>
      </c>
      <c r="J22" s="298">
        <f t="shared" si="6"/>
        <v>0.28301886792452829</v>
      </c>
      <c r="K22" s="301" t="str">
        <f t="shared" si="7"/>
        <v>27/49</v>
      </c>
      <c r="L22" s="339" t="str">
        <f t="shared" si="8"/>
        <v>B</v>
      </c>
      <c r="M22" s="139" t="str">
        <f>IF(J22&gt;=DashBoard!$O$11,"Pass","Echoue")</f>
        <v>Echoue</v>
      </c>
      <c r="AD22" s="338" t="str">
        <f t="shared" si="9"/>
        <v>B</v>
      </c>
    </row>
    <row r="23" spans="1:30" ht="15.75" thickBot="1" x14ac:dyDescent="0.3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1">
        <v>2</v>
      </c>
      <c r="G23" s="111">
        <v>2</v>
      </c>
      <c r="H23" s="111">
        <v>2</v>
      </c>
      <c r="I23" s="294">
        <f t="shared" si="5"/>
        <v>6</v>
      </c>
      <c r="J23" s="298">
        <f t="shared" si="6"/>
        <v>0.28301886792452829</v>
      </c>
      <c r="K23" s="301" t="str">
        <f t="shared" si="7"/>
        <v>27/49</v>
      </c>
      <c r="L23" s="339" t="str">
        <f t="shared" si="8"/>
        <v>B</v>
      </c>
      <c r="M23" s="139" t="str">
        <f>IF(J23&gt;=DashBoard!$O$11,"Pass","Echoue")</f>
        <v>Echoue</v>
      </c>
      <c r="AD23" s="338" t="str">
        <f t="shared" si="9"/>
        <v>B</v>
      </c>
    </row>
    <row r="24" spans="1:30" ht="15.75" thickBot="1" x14ac:dyDescent="0.3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1">
        <v>5</v>
      </c>
      <c r="G24" s="111">
        <v>5</v>
      </c>
      <c r="H24" s="111">
        <v>5</v>
      </c>
      <c r="I24" s="294">
        <f t="shared" si="5"/>
        <v>15</v>
      </c>
      <c r="J24" s="298">
        <f t="shared" si="6"/>
        <v>0.70754716981132082</v>
      </c>
      <c r="K24" s="301" t="str">
        <f t="shared" si="7"/>
        <v>5/49</v>
      </c>
      <c r="L24" s="339" t="str">
        <f t="shared" si="8"/>
        <v>B</v>
      </c>
      <c r="M24" s="139" t="str">
        <f>IF(J24&gt;=DashBoard!$O$11,"Pass","Echoue")</f>
        <v>Echoue</v>
      </c>
      <c r="AD24" s="338" t="str">
        <f t="shared" si="9"/>
        <v>B</v>
      </c>
    </row>
    <row r="25" spans="1:30" ht="15.75" thickBot="1" x14ac:dyDescent="0.3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1">
        <v>0</v>
      </c>
      <c r="G25" s="111">
        <v>0</v>
      </c>
      <c r="H25" s="111">
        <v>0</v>
      </c>
      <c r="I25" s="294">
        <f t="shared" si="5"/>
        <v>0</v>
      </c>
      <c r="J25" s="298">
        <f t="shared" si="6"/>
        <v>0</v>
      </c>
      <c r="K25" s="301" t="str">
        <f t="shared" si="7"/>
        <v>42/49</v>
      </c>
      <c r="L25" s="339" t="str">
        <f t="shared" si="8"/>
        <v>B</v>
      </c>
      <c r="M25" s="139" t="str">
        <f>IF(J25&gt;=DashBoard!$O$11,"Pass","Echoue")</f>
        <v>Echoue</v>
      </c>
      <c r="AD25" s="338" t="str">
        <f t="shared" si="9"/>
        <v>B</v>
      </c>
    </row>
    <row r="26" spans="1:30" ht="15.75" thickBot="1" x14ac:dyDescent="0.3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1">
        <v>5</v>
      </c>
      <c r="G26" s="111">
        <v>5</v>
      </c>
      <c r="H26" s="111">
        <v>5</v>
      </c>
      <c r="I26" s="294">
        <f t="shared" si="5"/>
        <v>15</v>
      </c>
      <c r="J26" s="298">
        <f t="shared" si="6"/>
        <v>0.70754716981132082</v>
      </c>
      <c r="K26" s="301" t="str">
        <f t="shared" si="7"/>
        <v>5/49</v>
      </c>
      <c r="L26" s="339" t="str">
        <f t="shared" si="8"/>
        <v>B</v>
      </c>
      <c r="M26" s="139" t="str">
        <f>IF(J26&gt;=DashBoard!$O$11,"Pass","Echoue")</f>
        <v>Echoue</v>
      </c>
      <c r="AD26" s="338" t="str">
        <f t="shared" si="9"/>
        <v>B</v>
      </c>
    </row>
    <row r="27" spans="1:30" ht="15.75" thickBot="1" x14ac:dyDescent="0.3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1">
        <v>1</v>
      </c>
      <c r="G27" s="111">
        <v>1</v>
      </c>
      <c r="H27" s="111">
        <v>1</v>
      </c>
      <c r="I27" s="294">
        <f t="shared" si="5"/>
        <v>3</v>
      </c>
      <c r="J27" s="298">
        <f t="shared" si="6"/>
        <v>0.14150943396226415</v>
      </c>
      <c r="K27" s="301" t="str">
        <f t="shared" si="7"/>
        <v>32/49</v>
      </c>
      <c r="L27" s="339" t="str">
        <f t="shared" si="8"/>
        <v>B</v>
      </c>
      <c r="M27" s="139" t="str">
        <f>IF(J27&gt;=DashBoard!$O$11,"Pass","Echoue")</f>
        <v>Echoue</v>
      </c>
      <c r="AD27" s="338" t="str">
        <f t="shared" si="9"/>
        <v>B</v>
      </c>
    </row>
    <row r="28" spans="1:30" ht="15.75" thickBot="1" x14ac:dyDescent="0.3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1">
        <v>0</v>
      </c>
      <c r="G28" s="111">
        <v>0</v>
      </c>
      <c r="H28" s="111">
        <v>0</v>
      </c>
      <c r="I28" s="294">
        <f t="shared" si="5"/>
        <v>0</v>
      </c>
      <c r="J28" s="298">
        <f t="shared" si="6"/>
        <v>0</v>
      </c>
      <c r="K28" s="301" t="str">
        <f t="shared" si="7"/>
        <v>42/49</v>
      </c>
      <c r="L28" s="339" t="str">
        <f t="shared" si="8"/>
        <v>B</v>
      </c>
      <c r="M28" s="139" t="str">
        <f>IF(J28&gt;=DashBoard!$O$11,"Pass","Echoue")</f>
        <v>Echoue</v>
      </c>
      <c r="AD28" s="338" t="str">
        <f t="shared" si="9"/>
        <v>B</v>
      </c>
    </row>
    <row r="29" spans="1:30" ht="15.75" thickBot="1" x14ac:dyDescent="0.3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1">
        <v>5</v>
      </c>
      <c r="G29" s="111">
        <v>5</v>
      </c>
      <c r="H29" s="111">
        <v>5</v>
      </c>
      <c r="I29" s="294">
        <f t="shared" si="5"/>
        <v>15</v>
      </c>
      <c r="J29" s="298">
        <f t="shared" si="6"/>
        <v>0.70754716981132082</v>
      </c>
      <c r="K29" s="301" t="str">
        <f t="shared" si="7"/>
        <v>5/49</v>
      </c>
      <c r="L29" s="339" t="str">
        <f t="shared" si="8"/>
        <v>B</v>
      </c>
      <c r="M29" s="139" t="str">
        <f>IF(J29&gt;=DashBoard!$O$11,"Pass","Echoue")</f>
        <v>Echoue</v>
      </c>
      <c r="AD29" s="338" t="str">
        <f t="shared" si="9"/>
        <v>B</v>
      </c>
    </row>
    <row r="30" spans="1:30" ht="15.75" thickBot="1" x14ac:dyDescent="0.3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1">
        <v>5</v>
      </c>
      <c r="G30" s="111">
        <v>5</v>
      </c>
      <c r="H30" s="111">
        <v>5</v>
      </c>
      <c r="I30" s="294">
        <f t="shared" si="5"/>
        <v>15</v>
      </c>
      <c r="J30" s="298">
        <f t="shared" si="6"/>
        <v>0.70754716981132082</v>
      </c>
      <c r="K30" s="301" t="str">
        <f t="shared" si="7"/>
        <v>5/49</v>
      </c>
      <c r="L30" s="339" t="str">
        <f t="shared" si="8"/>
        <v>B</v>
      </c>
      <c r="M30" s="139" t="str">
        <f>IF(J30&gt;=DashBoard!$O$11,"Pass","Echoue")</f>
        <v>Echoue</v>
      </c>
      <c r="AD30" s="338" t="str">
        <f t="shared" si="9"/>
        <v>B</v>
      </c>
    </row>
    <row r="31" spans="1:30" ht="15.75" thickBot="1" x14ac:dyDescent="0.3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1">
        <v>1</v>
      </c>
      <c r="G31" s="111">
        <v>1</v>
      </c>
      <c r="H31" s="111">
        <v>1</v>
      </c>
      <c r="I31" s="294">
        <f t="shared" si="5"/>
        <v>3</v>
      </c>
      <c r="J31" s="298">
        <f t="shared" si="6"/>
        <v>0.14150943396226415</v>
      </c>
      <c r="K31" s="301" t="str">
        <f t="shared" si="7"/>
        <v>32/49</v>
      </c>
      <c r="L31" s="339" t="str">
        <f t="shared" si="8"/>
        <v>B</v>
      </c>
      <c r="M31" s="139" t="str">
        <f>IF(J31&gt;=DashBoard!$O$11,"Pass","Echoue")</f>
        <v>Echoue</v>
      </c>
      <c r="AD31" s="338" t="str">
        <f t="shared" si="9"/>
        <v>B</v>
      </c>
    </row>
    <row r="32" spans="1:30" ht="15.75" thickBot="1" x14ac:dyDescent="0.3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1">
        <v>9</v>
      </c>
      <c r="G32" s="111">
        <v>9</v>
      </c>
      <c r="H32" s="111">
        <v>9</v>
      </c>
      <c r="I32" s="294">
        <f t="shared" si="5"/>
        <v>27</v>
      </c>
      <c r="J32" s="298">
        <f t="shared" si="6"/>
        <v>1.2735849056603774</v>
      </c>
      <c r="K32" s="301" t="str">
        <f t="shared" si="7"/>
        <v>1/49</v>
      </c>
      <c r="L32" s="339" t="str">
        <f t="shared" si="8"/>
        <v>B</v>
      </c>
      <c r="M32" s="139" t="str">
        <f>IF(J32&gt;=DashBoard!$O$11,"Pass","Echoue")</f>
        <v>Echoue</v>
      </c>
      <c r="AD32" s="338" t="str">
        <f t="shared" si="9"/>
        <v>B</v>
      </c>
    </row>
    <row r="33" spans="1:30" ht="15.75" thickBot="1" x14ac:dyDescent="0.3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1">
        <v>5</v>
      </c>
      <c r="G33" s="111">
        <v>5</v>
      </c>
      <c r="H33" s="111">
        <v>5</v>
      </c>
      <c r="I33" s="294">
        <f t="shared" si="5"/>
        <v>15</v>
      </c>
      <c r="J33" s="298">
        <f t="shared" si="6"/>
        <v>0.70754716981132082</v>
      </c>
      <c r="K33" s="301" t="str">
        <f t="shared" si="7"/>
        <v>5/49</v>
      </c>
      <c r="L33" s="339" t="str">
        <f t="shared" si="8"/>
        <v>B</v>
      </c>
      <c r="M33" s="139" t="str">
        <f>IF(J33&gt;=DashBoard!$O$11,"Pass","Echoue")</f>
        <v>Echoue</v>
      </c>
      <c r="AD33" s="338" t="str">
        <f t="shared" si="9"/>
        <v>B</v>
      </c>
    </row>
    <row r="34" spans="1:30" ht="15.75" thickBot="1" x14ac:dyDescent="0.3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1">
        <v>0</v>
      </c>
      <c r="G34" s="111">
        <v>0</v>
      </c>
      <c r="H34" s="111">
        <v>0</v>
      </c>
      <c r="I34" s="294">
        <f t="shared" si="5"/>
        <v>0</v>
      </c>
      <c r="J34" s="298">
        <f t="shared" si="6"/>
        <v>0</v>
      </c>
      <c r="K34" s="301" t="str">
        <f t="shared" si="7"/>
        <v>42/49</v>
      </c>
      <c r="L34" s="339" t="str">
        <f t="shared" si="8"/>
        <v>B</v>
      </c>
      <c r="M34" s="139" t="str">
        <f>IF(J34&gt;=DashBoard!$O$11,"Pass","Echoue")</f>
        <v>Echoue</v>
      </c>
      <c r="AD34" s="338" t="str">
        <f t="shared" si="9"/>
        <v>B</v>
      </c>
    </row>
    <row r="35" spans="1:30" ht="15.75" thickBot="1" x14ac:dyDescent="0.3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1">
        <v>1</v>
      </c>
      <c r="G35" s="111">
        <v>1</v>
      </c>
      <c r="H35" s="111">
        <v>1</v>
      </c>
      <c r="I35" s="294">
        <f t="shared" si="5"/>
        <v>3</v>
      </c>
      <c r="J35" s="298">
        <f t="shared" si="6"/>
        <v>0.14150943396226415</v>
      </c>
      <c r="K35" s="301" t="str">
        <f t="shared" si="7"/>
        <v>32/49</v>
      </c>
      <c r="L35" s="339" t="str">
        <f t="shared" si="8"/>
        <v>B</v>
      </c>
      <c r="M35" s="139" t="str">
        <f>IF(J35&gt;=DashBoard!$O$11,"Pass","Echoue")</f>
        <v>Echoue</v>
      </c>
      <c r="AD35" s="338" t="str">
        <f t="shared" si="9"/>
        <v>B</v>
      </c>
    </row>
    <row r="36" spans="1:30" ht="15.75" thickBot="1" x14ac:dyDescent="0.3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1">
        <v>8</v>
      </c>
      <c r="G36" s="111">
        <v>8</v>
      </c>
      <c r="H36" s="111">
        <v>8</v>
      </c>
      <c r="I36" s="294">
        <f t="shared" si="5"/>
        <v>24</v>
      </c>
      <c r="J36" s="298">
        <f t="shared" si="6"/>
        <v>1.1320754716981132</v>
      </c>
      <c r="K36" s="301" t="str">
        <f t="shared" si="7"/>
        <v>2/49</v>
      </c>
      <c r="L36" s="339" t="str">
        <f t="shared" si="8"/>
        <v>B</v>
      </c>
      <c r="M36" s="139" t="str">
        <f>IF(J36&gt;=DashBoard!$O$11,"Pass","Echoue")</f>
        <v>Echoue</v>
      </c>
      <c r="AD36" s="338" t="str">
        <f t="shared" si="9"/>
        <v>B</v>
      </c>
    </row>
    <row r="37" spans="1:30" ht="15.75" thickBot="1" x14ac:dyDescent="0.3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1">
        <v>1</v>
      </c>
      <c r="G37" s="111">
        <v>1</v>
      </c>
      <c r="H37" s="111">
        <v>1</v>
      </c>
      <c r="I37" s="294">
        <f t="shared" si="5"/>
        <v>3</v>
      </c>
      <c r="J37" s="298">
        <f t="shared" si="6"/>
        <v>0.14150943396226415</v>
      </c>
      <c r="K37" s="301" t="str">
        <f t="shared" si="7"/>
        <v>32/49</v>
      </c>
      <c r="L37" s="339" t="str">
        <f t="shared" si="8"/>
        <v>B</v>
      </c>
      <c r="M37" s="139" t="str">
        <f>IF(J37&gt;=DashBoard!$O$11,"Pass","Echoue")</f>
        <v>Echoue</v>
      </c>
      <c r="AD37" s="338" t="str">
        <f t="shared" si="9"/>
        <v>B</v>
      </c>
    </row>
    <row r="38" spans="1:30" ht="15.75" thickBot="1" x14ac:dyDescent="0.3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1">
        <v>5</v>
      </c>
      <c r="G38" s="111">
        <v>5</v>
      </c>
      <c r="H38" s="111">
        <v>5</v>
      </c>
      <c r="I38" s="294">
        <f t="shared" si="5"/>
        <v>15</v>
      </c>
      <c r="J38" s="298">
        <f t="shared" si="6"/>
        <v>0.70754716981132082</v>
      </c>
      <c r="K38" s="301" t="str">
        <f t="shared" si="7"/>
        <v>5/49</v>
      </c>
      <c r="L38" s="339" t="str">
        <f t="shared" si="8"/>
        <v>B</v>
      </c>
      <c r="M38" s="139" t="str">
        <f>IF(J38&gt;=DashBoard!$O$11,"Pass","Echoue")</f>
        <v>Echoue</v>
      </c>
      <c r="AD38" s="338" t="str">
        <f t="shared" si="9"/>
        <v>B</v>
      </c>
    </row>
    <row r="39" spans="1:30" ht="15.75" thickBot="1" x14ac:dyDescent="0.3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1">
        <v>5</v>
      </c>
      <c r="G39" s="111">
        <v>5</v>
      </c>
      <c r="H39" s="111">
        <v>5</v>
      </c>
      <c r="I39" s="294">
        <f t="shared" si="5"/>
        <v>15</v>
      </c>
      <c r="J39" s="298">
        <f t="shared" si="6"/>
        <v>0.70754716981132082</v>
      </c>
      <c r="K39" s="301" t="str">
        <f t="shared" si="7"/>
        <v>5/49</v>
      </c>
      <c r="L39" s="339" t="str">
        <f t="shared" si="8"/>
        <v>B</v>
      </c>
      <c r="M39" s="139" t="str">
        <f>IF(J39&gt;=DashBoard!$O$11,"Pass","Echoue")</f>
        <v>Echoue</v>
      </c>
      <c r="AD39" s="338" t="str">
        <f t="shared" si="9"/>
        <v>B</v>
      </c>
    </row>
    <row r="40" spans="1:30" ht="15.75" thickBot="1" x14ac:dyDescent="0.3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1">
        <v>5</v>
      </c>
      <c r="G40" s="111">
        <v>5</v>
      </c>
      <c r="H40" s="111">
        <v>5</v>
      </c>
      <c r="I40" s="294">
        <f t="shared" si="5"/>
        <v>15</v>
      </c>
      <c r="J40" s="298">
        <f t="shared" si="6"/>
        <v>0.70754716981132082</v>
      </c>
      <c r="K40" s="301" t="str">
        <f t="shared" si="7"/>
        <v>5/49</v>
      </c>
      <c r="L40" s="339" t="str">
        <f t="shared" si="8"/>
        <v>B</v>
      </c>
      <c r="M40" s="139" t="str">
        <f>IF(J40&gt;=DashBoard!$O$11,"Pass","Echoue")</f>
        <v>Echoue</v>
      </c>
      <c r="AD40" s="338" t="str">
        <f t="shared" si="9"/>
        <v>B</v>
      </c>
    </row>
    <row r="41" spans="1:30" ht="15.75" thickBot="1" x14ac:dyDescent="0.3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1">
        <v>1</v>
      </c>
      <c r="G41" s="111">
        <v>1</v>
      </c>
      <c r="H41" s="111">
        <v>1</v>
      </c>
      <c r="I41" s="294">
        <f t="shared" si="5"/>
        <v>3</v>
      </c>
      <c r="J41" s="298">
        <f t="shared" si="6"/>
        <v>0.14150943396226415</v>
      </c>
      <c r="K41" s="301" t="str">
        <f t="shared" si="7"/>
        <v>32/49</v>
      </c>
      <c r="L41" s="339" t="str">
        <f t="shared" si="8"/>
        <v>B</v>
      </c>
      <c r="M41" s="139" t="str">
        <f>IF(J41&gt;=DashBoard!$O$11,"Pass","Echoue")</f>
        <v>Echoue</v>
      </c>
      <c r="AD41" s="338" t="str">
        <f t="shared" si="9"/>
        <v>B</v>
      </c>
    </row>
    <row r="42" spans="1:30" ht="15.75" thickBot="1" x14ac:dyDescent="0.3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1">
        <v>5</v>
      </c>
      <c r="G42" s="111">
        <v>5</v>
      </c>
      <c r="H42" s="111">
        <v>5</v>
      </c>
      <c r="I42" s="294">
        <f t="shared" si="5"/>
        <v>15</v>
      </c>
      <c r="J42" s="298">
        <f t="shared" si="6"/>
        <v>0.70754716981132082</v>
      </c>
      <c r="K42" s="301" t="str">
        <f t="shared" si="7"/>
        <v>5/49</v>
      </c>
      <c r="L42" s="339" t="str">
        <f t="shared" si="8"/>
        <v>B</v>
      </c>
      <c r="M42" s="139" t="str">
        <f>IF(J42&gt;=DashBoard!$O$11,"Pass","Echoue")</f>
        <v>Echoue</v>
      </c>
      <c r="AD42" s="338" t="str">
        <f t="shared" si="9"/>
        <v>B</v>
      </c>
    </row>
    <row r="43" spans="1:30" ht="15.75" thickBot="1" x14ac:dyDescent="0.3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1">
        <v>1</v>
      </c>
      <c r="G43" s="111">
        <v>1</v>
      </c>
      <c r="H43" s="111">
        <v>1</v>
      </c>
      <c r="I43" s="294">
        <f t="shared" si="5"/>
        <v>3</v>
      </c>
      <c r="J43" s="298">
        <f t="shared" si="6"/>
        <v>0.14150943396226415</v>
      </c>
      <c r="K43" s="301" t="str">
        <f t="shared" si="7"/>
        <v>32/49</v>
      </c>
      <c r="L43" s="339" t="str">
        <f t="shared" si="8"/>
        <v>B</v>
      </c>
      <c r="M43" s="139" t="str">
        <f>IF(J43&gt;=DashBoard!$O$11,"Pass","Echoue")</f>
        <v>Echoue</v>
      </c>
      <c r="AD43" s="338" t="str">
        <f t="shared" si="9"/>
        <v>B</v>
      </c>
    </row>
    <row r="44" spans="1:30" ht="15.75" thickBot="1" x14ac:dyDescent="0.3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1">
        <v>5</v>
      </c>
      <c r="G44" s="111">
        <v>5</v>
      </c>
      <c r="H44" s="111">
        <v>5</v>
      </c>
      <c r="I44" s="294">
        <f t="shared" si="5"/>
        <v>15</v>
      </c>
      <c r="J44" s="298">
        <f t="shared" si="6"/>
        <v>0.70754716981132082</v>
      </c>
      <c r="K44" s="301" t="str">
        <f t="shared" si="7"/>
        <v>5/49</v>
      </c>
      <c r="L44" s="339" t="str">
        <f t="shared" si="8"/>
        <v>B</v>
      </c>
      <c r="M44" s="139" t="str">
        <f>IF(J44&gt;=DashBoard!$O$11,"Pass","Echoue")</f>
        <v>Echoue</v>
      </c>
      <c r="AD44" s="338" t="str">
        <f t="shared" si="9"/>
        <v>B</v>
      </c>
    </row>
    <row r="45" spans="1:30" ht="15.75" thickBot="1" x14ac:dyDescent="0.3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1">
        <v>5</v>
      </c>
      <c r="G45" s="111">
        <v>5</v>
      </c>
      <c r="H45" s="111">
        <v>5</v>
      </c>
      <c r="I45" s="294">
        <f t="shared" si="5"/>
        <v>15</v>
      </c>
      <c r="J45" s="298">
        <f t="shared" si="6"/>
        <v>0.70754716981132082</v>
      </c>
      <c r="K45" s="301" t="str">
        <f t="shared" si="7"/>
        <v>5/49</v>
      </c>
      <c r="L45" s="339" t="str">
        <f t="shared" si="8"/>
        <v>B</v>
      </c>
      <c r="M45" s="139" t="str">
        <f>IF(J45&gt;=DashBoard!$O$11,"Pass","Echoue")</f>
        <v>Echoue</v>
      </c>
      <c r="AD45" s="338" t="str">
        <f t="shared" si="9"/>
        <v>B</v>
      </c>
    </row>
    <row r="46" spans="1:30" ht="15.75" thickBot="1" x14ac:dyDescent="0.3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1">
        <v>5</v>
      </c>
      <c r="G46" s="111">
        <v>5</v>
      </c>
      <c r="H46" s="111">
        <v>5</v>
      </c>
      <c r="I46" s="294">
        <f t="shared" si="5"/>
        <v>15</v>
      </c>
      <c r="J46" s="298">
        <f t="shared" si="6"/>
        <v>0.70754716981132082</v>
      </c>
      <c r="K46" s="301" t="str">
        <f t="shared" si="7"/>
        <v>5/49</v>
      </c>
      <c r="L46" s="339" t="str">
        <f t="shared" si="8"/>
        <v>B</v>
      </c>
      <c r="M46" s="139" t="str">
        <f>IF(J46&gt;=DashBoard!$O$11,"Pass","Echoue")</f>
        <v>Echoue</v>
      </c>
      <c r="AD46" s="338" t="str">
        <f t="shared" si="9"/>
        <v>B</v>
      </c>
    </row>
    <row r="47" spans="1:30" ht="15.75" thickBot="1" x14ac:dyDescent="0.3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1">
        <v>1</v>
      </c>
      <c r="G47" s="111">
        <v>1</v>
      </c>
      <c r="H47" s="111">
        <v>1</v>
      </c>
      <c r="I47" s="294">
        <f t="shared" si="5"/>
        <v>3</v>
      </c>
      <c r="J47" s="298">
        <f t="shared" si="6"/>
        <v>0.14150943396226415</v>
      </c>
      <c r="K47" s="301" t="str">
        <f t="shared" si="7"/>
        <v>32/49</v>
      </c>
      <c r="L47" s="339" t="str">
        <f t="shared" si="8"/>
        <v>B</v>
      </c>
      <c r="M47" s="139" t="str">
        <f>IF(J47&gt;=DashBoard!$O$11,"Pass","Echoue")</f>
        <v>Echoue</v>
      </c>
      <c r="AD47" s="338" t="str">
        <f t="shared" si="9"/>
        <v>B</v>
      </c>
    </row>
    <row r="48" spans="1:30" ht="15.75" thickBot="1" x14ac:dyDescent="0.3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1">
        <v>1</v>
      </c>
      <c r="G48" s="111">
        <v>1</v>
      </c>
      <c r="H48" s="111">
        <v>1</v>
      </c>
      <c r="I48" s="294">
        <f t="shared" si="5"/>
        <v>3</v>
      </c>
      <c r="J48" s="298">
        <f t="shared" si="6"/>
        <v>0.14150943396226415</v>
      </c>
      <c r="K48" s="301" t="str">
        <f t="shared" si="7"/>
        <v>32/49</v>
      </c>
      <c r="L48" s="339" t="str">
        <f t="shared" si="8"/>
        <v>B</v>
      </c>
      <c r="M48" s="139" t="str">
        <f>IF(J48&gt;=DashBoard!$O$11,"Pass","Echoue")</f>
        <v>Echoue</v>
      </c>
      <c r="AD48" s="338" t="str">
        <f t="shared" si="9"/>
        <v>B</v>
      </c>
    </row>
    <row r="49" spans="1:30" ht="15.75" thickBot="1" x14ac:dyDescent="0.3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1">
        <v>5</v>
      </c>
      <c r="G49" s="111">
        <v>5</v>
      </c>
      <c r="H49" s="111">
        <v>5</v>
      </c>
      <c r="I49" s="294">
        <f t="shared" si="5"/>
        <v>15</v>
      </c>
      <c r="J49" s="298">
        <f t="shared" si="6"/>
        <v>0.70754716981132082</v>
      </c>
      <c r="K49" s="301" t="str">
        <f t="shared" si="7"/>
        <v>5/49</v>
      </c>
      <c r="L49" s="339" t="str">
        <f t="shared" si="8"/>
        <v>B</v>
      </c>
      <c r="M49" s="139" t="str">
        <f>IF(J49&gt;=DashBoard!$O$11,"Pass","Echoue")</f>
        <v>Echoue</v>
      </c>
      <c r="AD49" s="338" t="str">
        <f t="shared" si="9"/>
        <v>B</v>
      </c>
    </row>
    <row r="50" spans="1:30" ht="15.75" thickBot="1" x14ac:dyDescent="0.3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1">
        <v>5</v>
      </c>
      <c r="G50" s="111">
        <v>5</v>
      </c>
      <c r="H50" s="111">
        <v>5</v>
      </c>
      <c r="I50" s="294">
        <f t="shared" si="5"/>
        <v>15</v>
      </c>
      <c r="J50" s="298">
        <f t="shared" si="6"/>
        <v>0.70754716981132082</v>
      </c>
      <c r="K50" s="301" t="str">
        <f t="shared" si="7"/>
        <v>5/49</v>
      </c>
      <c r="L50" s="339" t="str">
        <f t="shared" si="8"/>
        <v>B</v>
      </c>
      <c r="M50" s="139" t="str">
        <f>IF(J50&gt;=DashBoard!$O$11,"Pass","Echoue")</f>
        <v>Echoue</v>
      </c>
      <c r="AD50" s="338" t="str">
        <f t="shared" si="9"/>
        <v>B</v>
      </c>
    </row>
    <row r="51" spans="1:30" ht="15.75" thickBot="1" x14ac:dyDescent="0.3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1">
        <v>5</v>
      </c>
      <c r="G51" s="111">
        <v>5</v>
      </c>
      <c r="H51" s="111">
        <v>5</v>
      </c>
      <c r="I51" s="294">
        <f t="shared" si="5"/>
        <v>15</v>
      </c>
      <c r="J51" s="298">
        <f t="shared" si="6"/>
        <v>0.70754716981132082</v>
      </c>
      <c r="K51" s="301" t="str">
        <f t="shared" si="7"/>
        <v>5/49</v>
      </c>
      <c r="L51" s="339" t="str">
        <f t="shared" si="8"/>
        <v>B</v>
      </c>
      <c r="M51" s="139" t="str">
        <f>IF(J51&gt;=DashBoard!$O$11,"Pass","Echoue")</f>
        <v>Echoue</v>
      </c>
      <c r="AD51" s="338" t="str">
        <f t="shared" si="9"/>
        <v>B</v>
      </c>
    </row>
    <row r="52" spans="1:30" ht="15.75" thickBot="1" x14ac:dyDescent="0.3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1">
        <v>5</v>
      </c>
      <c r="G52" s="111">
        <v>5</v>
      </c>
      <c r="H52" s="111">
        <v>5</v>
      </c>
      <c r="I52" s="294">
        <f t="shared" si="5"/>
        <v>15</v>
      </c>
      <c r="J52" s="298">
        <f t="shared" si="6"/>
        <v>0.70754716981132082</v>
      </c>
      <c r="K52" s="301" t="str">
        <f t="shared" si="7"/>
        <v>5/49</v>
      </c>
      <c r="L52" s="339" t="str">
        <f t="shared" si="8"/>
        <v>B</v>
      </c>
      <c r="M52" s="139" t="str">
        <f>IF(J52&gt;=DashBoard!$O$11,"Pass","Echoue")</f>
        <v>Echoue</v>
      </c>
      <c r="AD52" s="338" t="str">
        <f t="shared" si="9"/>
        <v>B</v>
      </c>
    </row>
    <row r="53" spans="1:30" ht="15.75" thickBot="1" x14ac:dyDescent="0.3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1">
        <v>5</v>
      </c>
      <c r="G53" s="111">
        <v>5</v>
      </c>
      <c r="H53" s="111">
        <v>5</v>
      </c>
      <c r="I53" s="294">
        <f t="shared" si="5"/>
        <v>15</v>
      </c>
      <c r="J53" s="298">
        <f t="shared" si="6"/>
        <v>0.70754716981132082</v>
      </c>
      <c r="K53" s="301" t="str">
        <f t="shared" si="7"/>
        <v>5/49</v>
      </c>
      <c r="L53" s="339" t="str">
        <f t="shared" si="8"/>
        <v>B</v>
      </c>
      <c r="M53" s="139" t="str">
        <f>IF(J53&gt;=DashBoard!$O$11,"Pass","Echoue")</f>
        <v>Echoue</v>
      </c>
      <c r="AD53" s="338" t="str">
        <f t="shared" si="9"/>
        <v>B</v>
      </c>
    </row>
    <row r="54" spans="1:30" ht="15.75" thickBot="1" x14ac:dyDescent="0.3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1">
        <v>5</v>
      </c>
      <c r="G54" s="111">
        <v>5</v>
      </c>
      <c r="H54" s="111">
        <v>5</v>
      </c>
      <c r="I54" s="294">
        <f t="shared" si="5"/>
        <v>15</v>
      </c>
      <c r="J54" s="298">
        <f t="shared" si="6"/>
        <v>0.70754716981132082</v>
      </c>
      <c r="K54" s="301" t="str">
        <f t="shared" si="7"/>
        <v>5/49</v>
      </c>
      <c r="L54" s="339" t="str">
        <f t="shared" si="8"/>
        <v>B</v>
      </c>
      <c r="M54" s="139" t="str">
        <f>IF(J54&gt;=DashBoard!$O$11,"Pass","Echoue")</f>
        <v>Echoue</v>
      </c>
      <c r="AD54" s="338" t="str">
        <f t="shared" si="9"/>
        <v>B</v>
      </c>
    </row>
    <row r="55" spans="1:30" ht="15.75" thickBot="1" x14ac:dyDescent="0.3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1">
        <v>5</v>
      </c>
      <c r="G55" s="111">
        <v>5</v>
      </c>
      <c r="H55" s="111">
        <v>5</v>
      </c>
      <c r="I55" s="294">
        <f t="shared" si="5"/>
        <v>15</v>
      </c>
      <c r="J55" s="298">
        <f t="shared" si="6"/>
        <v>0.70754716981132082</v>
      </c>
      <c r="K55" s="301" t="str">
        <f t="shared" si="7"/>
        <v>5/49</v>
      </c>
      <c r="L55" s="339" t="str">
        <f t="shared" si="8"/>
        <v>B</v>
      </c>
      <c r="M55" s="139" t="str">
        <f>IF(J55&gt;=DashBoard!$O$11,"Pass","Echoue")</f>
        <v>Echoue</v>
      </c>
      <c r="AD55" s="338" t="str">
        <f t="shared" si="9"/>
        <v>B</v>
      </c>
    </row>
    <row r="56" spans="1:30" ht="15.75" thickBot="1" x14ac:dyDescent="0.3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1">
        <v>5</v>
      </c>
      <c r="G56" s="111">
        <v>5</v>
      </c>
      <c r="H56" s="111">
        <v>5</v>
      </c>
      <c r="I56" s="294">
        <f t="shared" si="5"/>
        <v>15</v>
      </c>
      <c r="J56" s="298">
        <f t="shared" si="6"/>
        <v>0.70754716981132082</v>
      </c>
      <c r="K56" s="301" t="str">
        <f t="shared" si="7"/>
        <v>5/49</v>
      </c>
      <c r="L56" s="339" t="str">
        <f t="shared" si="8"/>
        <v>B</v>
      </c>
      <c r="M56" s="139" t="str">
        <f>IF(J56&gt;=DashBoard!$O$11,"Pass","Echoue")</f>
        <v>Echoue</v>
      </c>
      <c r="AD56" s="338" t="str">
        <f t="shared" si="9"/>
        <v>B</v>
      </c>
    </row>
    <row r="57" spans="1:30" ht="15.75" thickBot="1" x14ac:dyDescent="0.3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1">
        <v>2</v>
      </c>
      <c r="G57" s="111">
        <v>2</v>
      </c>
      <c r="H57" s="111">
        <v>2</v>
      </c>
      <c r="I57" s="294">
        <f t="shared" si="5"/>
        <v>6</v>
      </c>
      <c r="J57" s="298">
        <f t="shared" si="6"/>
        <v>0.28301886792452829</v>
      </c>
      <c r="K57" s="301" t="str">
        <f t="shared" si="7"/>
        <v>27/49</v>
      </c>
      <c r="L57" s="339" t="str">
        <f t="shared" si="8"/>
        <v>B</v>
      </c>
      <c r="M57" s="139" t="str">
        <f>IF(J57&gt;=DashBoard!$O$11,"Pass","Echoue")</f>
        <v>Echoue</v>
      </c>
      <c r="AD57" s="338" t="str">
        <f t="shared" si="9"/>
        <v>B</v>
      </c>
    </row>
    <row r="58" spans="1:30" ht="15.75" thickBot="1" x14ac:dyDescent="0.3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1">
        <v>2</v>
      </c>
      <c r="G58" s="111">
        <v>2</v>
      </c>
      <c r="H58" s="111">
        <v>2</v>
      </c>
      <c r="I58" s="294">
        <f t="shared" si="5"/>
        <v>6</v>
      </c>
      <c r="J58" s="298">
        <f t="shared" si="6"/>
        <v>0.28301886792452829</v>
      </c>
      <c r="K58" s="301" t="str">
        <f t="shared" si="7"/>
        <v>27/49</v>
      </c>
      <c r="L58" s="339" t="str">
        <f t="shared" si="8"/>
        <v>B</v>
      </c>
      <c r="M58" s="139" t="str">
        <f>IF(J58&gt;=DashBoard!$O$11,"Pass","Echoue")</f>
        <v>Echoue</v>
      </c>
      <c r="AD58" s="338" t="str">
        <f t="shared" si="9"/>
        <v>B</v>
      </c>
    </row>
    <row r="59" spans="1:30" ht="15.75" thickBot="1" x14ac:dyDescent="0.3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1">
        <v>5</v>
      </c>
      <c r="G59" s="111">
        <v>5</v>
      </c>
      <c r="H59" s="111">
        <v>5</v>
      </c>
      <c r="I59" s="294">
        <f t="shared" si="5"/>
        <v>15</v>
      </c>
      <c r="J59" s="298">
        <f t="shared" si="6"/>
        <v>0.70754716981132082</v>
      </c>
      <c r="K59" s="301" t="str">
        <f t="shared" si="7"/>
        <v>5/49</v>
      </c>
      <c r="L59" s="339" t="str">
        <f t="shared" si="8"/>
        <v>B</v>
      </c>
      <c r="M59" s="139" t="str">
        <f>IF(J59&gt;=DashBoard!$O$11,"Pass","Echoue")</f>
        <v>Echoue</v>
      </c>
      <c r="AD59" s="338" t="str">
        <f t="shared" si="9"/>
        <v>B</v>
      </c>
    </row>
    <row r="60" spans="1:30" ht="15.75" thickBot="1" x14ac:dyDescent="0.3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1">
        <v>1</v>
      </c>
      <c r="G60" s="111">
        <v>1</v>
      </c>
      <c r="H60" s="111">
        <v>1</v>
      </c>
      <c r="I60" s="294">
        <f t="shared" si="5"/>
        <v>3</v>
      </c>
      <c r="J60" s="298">
        <f t="shared" si="6"/>
        <v>0.14150943396226415</v>
      </c>
      <c r="K60" s="301" t="str">
        <f t="shared" si="7"/>
        <v>32/49</v>
      </c>
      <c r="L60" s="339" t="str">
        <f t="shared" si="8"/>
        <v>B</v>
      </c>
      <c r="M60" s="139" t="str">
        <f>IF(J60&gt;=DashBoard!$O$11,"Pass","Echoue")</f>
        <v>Echoue</v>
      </c>
      <c r="AD60" s="338" t="str">
        <f t="shared" si="9"/>
        <v>B</v>
      </c>
    </row>
    <row r="61" spans="1:30" ht="15.75" thickBot="1" x14ac:dyDescent="0.3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1">
        <v>1</v>
      </c>
      <c r="G61" s="111">
        <v>1</v>
      </c>
      <c r="H61" s="111">
        <v>1</v>
      </c>
      <c r="I61" s="294">
        <f t="shared" si="5"/>
        <v>3</v>
      </c>
      <c r="J61" s="298">
        <f t="shared" si="6"/>
        <v>0.14150943396226415</v>
      </c>
      <c r="K61" s="301" t="str">
        <f t="shared" si="7"/>
        <v>32/49</v>
      </c>
      <c r="L61" s="339" t="str">
        <f t="shared" si="8"/>
        <v>B</v>
      </c>
      <c r="M61" s="139" t="str">
        <f>IF(J61&gt;=DashBoard!$O$11,"Pass","Echoue")</f>
        <v>Echoue</v>
      </c>
      <c r="AD61" s="338" t="str">
        <f t="shared" si="9"/>
        <v>B</v>
      </c>
    </row>
    <row r="62" spans="1:30" ht="15.75" thickBot="1" x14ac:dyDescent="0.3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1">
        <v>2</v>
      </c>
      <c r="G62" s="111">
        <v>2</v>
      </c>
      <c r="H62" s="111">
        <v>2</v>
      </c>
      <c r="I62" s="294">
        <f t="shared" si="5"/>
        <v>6</v>
      </c>
      <c r="J62" s="298">
        <f t="shared" si="6"/>
        <v>0.28301886792452829</v>
      </c>
      <c r="K62" s="301" t="str">
        <f t="shared" si="7"/>
        <v>27/49</v>
      </c>
      <c r="L62" s="339" t="str">
        <f t="shared" si="8"/>
        <v>B</v>
      </c>
      <c r="M62" s="139" t="str">
        <f>IF(J62&gt;=DashBoard!$O$11,"Pass","Echoue")</f>
        <v>Echoue</v>
      </c>
      <c r="AD62" s="338" t="str">
        <f t="shared" si="9"/>
        <v>B</v>
      </c>
    </row>
    <row r="63" spans="1:30" ht="15.75" thickBot="1" x14ac:dyDescent="0.3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1">
        <v>5</v>
      </c>
      <c r="G63" s="111">
        <v>5</v>
      </c>
      <c r="H63" s="111">
        <v>5</v>
      </c>
      <c r="I63" s="294">
        <f t="shared" si="5"/>
        <v>15</v>
      </c>
      <c r="J63" s="298">
        <f t="shared" si="6"/>
        <v>0.70754716981132082</v>
      </c>
      <c r="K63" s="301" t="str">
        <f t="shared" si="7"/>
        <v>5/49</v>
      </c>
      <c r="L63" s="339" t="str">
        <f t="shared" si="8"/>
        <v>B</v>
      </c>
      <c r="M63" s="139" t="str">
        <f>IF(J63&gt;=DashBoard!$O$11,"Pass","Echoue")</f>
        <v>Echoue</v>
      </c>
      <c r="AD63" s="338" t="str">
        <f t="shared" si="9"/>
        <v>B</v>
      </c>
    </row>
    <row r="64" spans="1:30" ht="15.75" thickBot="1" x14ac:dyDescent="0.3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1">
        <v>7</v>
      </c>
      <c r="G64" s="111">
        <v>7</v>
      </c>
      <c r="H64" s="111">
        <v>7</v>
      </c>
      <c r="I64" s="294">
        <f t="shared" si="5"/>
        <v>21</v>
      </c>
      <c r="J64" s="298">
        <f t="shared" si="6"/>
        <v>0.99056603773584906</v>
      </c>
      <c r="K64" s="301" t="str">
        <f t="shared" si="7"/>
        <v>4/49</v>
      </c>
      <c r="L64" s="339" t="str">
        <f t="shared" si="8"/>
        <v>B</v>
      </c>
      <c r="M64" s="139" t="str">
        <f>IF(J64&gt;=DashBoard!$O$11,"Pass","Echoue")</f>
        <v>Echoue</v>
      </c>
      <c r="AD64" s="338" t="str">
        <f t="shared" si="9"/>
        <v>B</v>
      </c>
    </row>
    <row r="65" spans="1:30" ht="15.75" thickBot="1" x14ac:dyDescent="0.3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1">
        <v>0</v>
      </c>
      <c r="G65" s="111">
        <v>0</v>
      </c>
      <c r="H65" s="111">
        <v>0</v>
      </c>
      <c r="I65" s="294">
        <f t="shared" si="5"/>
        <v>0</v>
      </c>
      <c r="J65" s="298">
        <f t="shared" si="6"/>
        <v>0</v>
      </c>
      <c r="K65" s="301" t="str">
        <f t="shared" si="7"/>
        <v>42/49</v>
      </c>
      <c r="L65" s="339" t="str">
        <f t="shared" si="8"/>
        <v>B</v>
      </c>
      <c r="M65" s="139" t="str">
        <f>IF(J65&gt;=DashBoard!$O$11,"Pass","Echoue")</f>
        <v>Echoue</v>
      </c>
      <c r="AD65" s="338" t="str">
        <f t="shared" si="9"/>
        <v>B</v>
      </c>
    </row>
    <row r="66" spans="1:30" ht="15.75" thickBot="1" x14ac:dyDescent="0.3">
      <c r="A66" s="153"/>
      <c r="B66" s="8"/>
      <c r="C66" s="8"/>
      <c r="D66" s="23"/>
      <c r="E66" s="51"/>
      <c r="F66" s="111"/>
      <c r="G66" s="111"/>
      <c r="H66" s="111"/>
      <c r="I66" s="294">
        <f t="shared" si="5"/>
        <v>0</v>
      </c>
      <c r="J66" s="298">
        <f t="shared" si="6"/>
        <v>0</v>
      </c>
      <c r="K66" s="301" t="str">
        <f t="shared" si="7"/>
        <v>42/49</v>
      </c>
      <c r="L66" s="339" t="str">
        <f t="shared" si="8"/>
        <v>B</v>
      </c>
      <c r="M66" s="139" t="str">
        <f>IF(J66&gt;=DashBoard!$O$11,"Pass","Echoue")</f>
        <v>Echoue</v>
      </c>
      <c r="AD66" s="338" t="str">
        <f t="shared" si="9"/>
        <v>B</v>
      </c>
    </row>
    <row r="67" spans="1:30" ht="15.75" thickBot="1" x14ac:dyDescent="0.3">
      <c r="A67" s="153"/>
      <c r="B67" s="8"/>
      <c r="C67" s="8"/>
      <c r="D67" s="23"/>
      <c r="E67" s="51"/>
      <c r="F67" s="111"/>
      <c r="G67" s="111"/>
      <c r="H67" s="111"/>
      <c r="I67" s="294">
        <f t="shared" si="5"/>
        <v>0</v>
      </c>
      <c r="J67" s="298">
        <f t="shared" si="6"/>
        <v>0</v>
      </c>
      <c r="K67" s="301" t="str">
        <f t="shared" si="7"/>
        <v>42/49</v>
      </c>
      <c r="L67" s="339" t="str">
        <f t="shared" si="8"/>
        <v>B</v>
      </c>
      <c r="M67" s="139" t="str">
        <f>IF(J67&gt;=DashBoard!$O$11,"Pass","Echoue")</f>
        <v>Echoue</v>
      </c>
      <c r="AD67" s="338" t="str">
        <f t="shared" si="9"/>
        <v>B</v>
      </c>
    </row>
    <row r="68" spans="1:30" ht="15.75" thickBot="1" x14ac:dyDescent="0.3">
      <c r="A68" s="153"/>
      <c r="B68" s="8"/>
      <c r="C68" s="8"/>
      <c r="D68" s="23"/>
      <c r="E68" s="51"/>
      <c r="F68" s="111"/>
      <c r="G68" s="111"/>
      <c r="H68" s="111"/>
      <c r="I68" s="294">
        <f t="shared" si="5"/>
        <v>0</v>
      </c>
      <c r="J68" s="298">
        <f t="shared" si="6"/>
        <v>0</v>
      </c>
      <c r="K68" s="301" t="str">
        <f t="shared" si="7"/>
        <v>42/49</v>
      </c>
      <c r="L68" s="339" t="str">
        <f t="shared" si="8"/>
        <v>B</v>
      </c>
      <c r="M68" s="139" t="str">
        <f>IF(J68&gt;=DashBoard!$O$11,"Pass","Echoue")</f>
        <v>Echoue</v>
      </c>
      <c r="AD68" s="338" t="str">
        <f t="shared" si="9"/>
        <v>B</v>
      </c>
    </row>
    <row r="69" spans="1:30" ht="15.75" thickBot="1" x14ac:dyDescent="0.3">
      <c r="A69" s="153"/>
      <c r="B69" s="8"/>
      <c r="C69" s="8"/>
      <c r="D69" s="23"/>
      <c r="E69" s="51"/>
      <c r="F69" s="111"/>
      <c r="G69" s="111"/>
      <c r="H69" s="111"/>
      <c r="I69" s="294">
        <f t="shared" si="5"/>
        <v>0</v>
      </c>
      <c r="J69" s="298">
        <f t="shared" si="6"/>
        <v>0</v>
      </c>
      <c r="K69" s="301" t="str">
        <f t="shared" si="7"/>
        <v>42/49</v>
      </c>
      <c r="L69" s="339" t="str">
        <f t="shared" si="8"/>
        <v>B</v>
      </c>
      <c r="M69" s="139" t="str">
        <f>IF(J69&gt;=DashBoard!$O$11,"Pass","Echoue")</f>
        <v>Echoue</v>
      </c>
      <c r="AD69" s="338" t="str">
        <f t="shared" si="9"/>
        <v>B</v>
      </c>
    </row>
    <row r="70" spans="1:30" ht="15.75" thickBot="1" x14ac:dyDescent="0.3">
      <c r="A70" s="153"/>
      <c r="B70" s="8"/>
      <c r="C70" s="8"/>
      <c r="D70" s="23"/>
      <c r="E70" s="51"/>
      <c r="F70" s="111"/>
      <c r="G70" s="111"/>
      <c r="H70" s="111"/>
      <c r="I70" s="294">
        <f t="shared" si="5"/>
        <v>0</v>
      </c>
      <c r="J70" s="298">
        <f t="shared" si="6"/>
        <v>0</v>
      </c>
      <c r="K70" s="301" t="str">
        <f t="shared" si="7"/>
        <v>42/49</v>
      </c>
      <c r="L70" s="339" t="str">
        <f t="shared" si="8"/>
        <v>B</v>
      </c>
      <c r="M70" s="139" t="str">
        <f>IF(J70&gt;=DashBoard!$O$11,"Pass","Echoue")</f>
        <v>Echoue</v>
      </c>
      <c r="AD70" s="338" t="str">
        <f t="shared" si="9"/>
        <v>B</v>
      </c>
    </row>
    <row r="71" spans="1:30" ht="15.75" thickBot="1" x14ac:dyDescent="0.3">
      <c r="A71" s="153"/>
      <c r="B71" s="8"/>
      <c r="C71" s="8"/>
      <c r="D71" s="23"/>
      <c r="E71" s="51"/>
      <c r="F71" s="111"/>
      <c r="G71" s="111"/>
      <c r="H71" s="111"/>
      <c r="I71" s="294">
        <f t="shared" si="5"/>
        <v>0</v>
      </c>
      <c r="J71" s="298">
        <f t="shared" si="6"/>
        <v>0</v>
      </c>
      <c r="K71" s="301" t="str">
        <f t="shared" si="7"/>
        <v>42/49</v>
      </c>
      <c r="L71" s="339" t="str">
        <f t="shared" si="8"/>
        <v>B</v>
      </c>
      <c r="M71" s="139" t="str">
        <f>IF(J71&gt;=DashBoard!$O$11,"Pass","Echoue")</f>
        <v>Echoue</v>
      </c>
      <c r="AD71" s="338" t="str">
        <f t="shared" si="9"/>
        <v>B</v>
      </c>
    </row>
    <row r="72" spans="1:30" ht="15.75" thickBot="1" x14ac:dyDescent="0.3">
      <c r="A72" s="153"/>
      <c r="B72" s="8"/>
      <c r="C72" s="8"/>
      <c r="D72" s="23"/>
      <c r="E72" s="51"/>
      <c r="F72" s="111"/>
      <c r="G72" s="111"/>
      <c r="H72" s="111"/>
      <c r="I72" s="294">
        <f t="shared" si="5"/>
        <v>0</v>
      </c>
      <c r="J72" s="298">
        <f t="shared" si="6"/>
        <v>0</v>
      </c>
      <c r="K72" s="301" t="str">
        <f t="shared" si="7"/>
        <v>42/49</v>
      </c>
      <c r="L72" s="339" t="str">
        <f t="shared" si="8"/>
        <v>B</v>
      </c>
      <c r="M72" s="139" t="str">
        <f>IF(J72&gt;=DashBoard!$O$11,"Pass","Echoue")</f>
        <v>Echoue</v>
      </c>
      <c r="AD72" s="338" t="str">
        <f t="shared" si="9"/>
        <v>B</v>
      </c>
    </row>
    <row r="73" spans="1:30" ht="15.75" thickBot="1" x14ac:dyDescent="0.3">
      <c r="A73" s="153"/>
      <c r="B73" s="8"/>
      <c r="C73" s="8"/>
      <c r="D73" s="23"/>
      <c r="E73" s="51"/>
      <c r="F73" s="111"/>
      <c r="G73" s="111"/>
      <c r="H73" s="111"/>
      <c r="I73" s="294">
        <f t="shared" si="5"/>
        <v>0</v>
      </c>
      <c r="J73" s="298">
        <f t="shared" si="6"/>
        <v>0</v>
      </c>
      <c r="K73" s="301" t="str">
        <f t="shared" si="7"/>
        <v>42/49</v>
      </c>
      <c r="L73" s="339" t="str">
        <f t="shared" si="8"/>
        <v>B</v>
      </c>
      <c r="M73" s="139" t="str">
        <f>IF(J73&gt;=DashBoard!$O$11,"Pass","Echoue")</f>
        <v>Echoue</v>
      </c>
      <c r="AD73" s="338" t="str">
        <f t="shared" si="9"/>
        <v>B</v>
      </c>
    </row>
    <row r="74" spans="1:30" ht="15.75" thickBot="1" x14ac:dyDescent="0.3">
      <c r="A74" s="153"/>
      <c r="B74" s="8"/>
      <c r="C74" s="8"/>
      <c r="D74" s="23"/>
      <c r="E74" s="51"/>
      <c r="F74" s="111"/>
      <c r="G74" s="111"/>
      <c r="H74" s="111"/>
      <c r="I74" s="294">
        <f t="shared" si="5"/>
        <v>0</v>
      </c>
      <c r="J74" s="298">
        <f t="shared" si="6"/>
        <v>0</v>
      </c>
      <c r="K74" s="301" t="str">
        <f t="shared" si="7"/>
        <v>42/49</v>
      </c>
      <c r="L74" s="339" t="str">
        <f t="shared" si="8"/>
        <v>B</v>
      </c>
      <c r="M74" s="139" t="str">
        <f>IF(J74&gt;=DashBoard!$O$11,"Pass","Echoue")</f>
        <v>Echoue</v>
      </c>
      <c r="AD74" s="338" t="str">
        <f t="shared" si="9"/>
        <v>B</v>
      </c>
    </row>
    <row r="75" spans="1:30" ht="15.75" thickBot="1" x14ac:dyDescent="0.3">
      <c r="A75" s="153"/>
      <c r="B75" s="8"/>
      <c r="C75" s="8"/>
      <c r="D75" s="23"/>
      <c r="E75" s="51"/>
      <c r="F75" s="111"/>
      <c r="G75" s="111"/>
      <c r="H75" s="111"/>
      <c r="I75" s="294">
        <f t="shared" si="5"/>
        <v>0</v>
      </c>
      <c r="J75" s="298">
        <f t="shared" si="6"/>
        <v>0</v>
      </c>
      <c r="K75" s="301" t="str">
        <f t="shared" si="7"/>
        <v>42/49</v>
      </c>
      <c r="L75" s="339" t="str">
        <f t="shared" si="8"/>
        <v>B</v>
      </c>
      <c r="M75" s="139" t="str">
        <f>IF(J75&gt;=DashBoard!$O$11,"Pass","Echoue")</f>
        <v>Echoue</v>
      </c>
      <c r="AD75" s="338" t="str">
        <f t="shared" si="9"/>
        <v>B</v>
      </c>
    </row>
    <row r="76" spans="1:30" ht="15.75" thickBot="1" x14ac:dyDescent="0.3">
      <c r="A76" s="153"/>
      <c r="B76" s="8"/>
      <c r="C76" s="8"/>
      <c r="D76" s="23"/>
      <c r="E76" s="51"/>
      <c r="F76" s="111"/>
      <c r="G76" s="111"/>
      <c r="H76" s="111"/>
      <c r="I76" s="294">
        <f t="shared" si="5"/>
        <v>0</v>
      </c>
      <c r="J76" s="298">
        <f t="shared" si="6"/>
        <v>0</v>
      </c>
      <c r="K76" s="301" t="str">
        <f t="shared" si="7"/>
        <v>42/49</v>
      </c>
      <c r="L76" s="339" t="str">
        <f t="shared" si="8"/>
        <v>B</v>
      </c>
      <c r="M76" s="139" t="str">
        <f>IF(J76&gt;=DashBoard!$O$11,"Pass","Echoue")</f>
        <v>Echoue</v>
      </c>
      <c r="AD76" s="338" t="str">
        <f t="shared" si="9"/>
        <v>B</v>
      </c>
    </row>
    <row r="77" spans="1:30" ht="15.75" thickBot="1" x14ac:dyDescent="0.3">
      <c r="A77" s="153"/>
      <c r="B77" s="8"/>
      <c r="C77" s="8"/>
      <c r="D77" s="23"/>
      <c r="E77" s="51"/>
      <c r="F77" s="111"/>
      <c r="G77" s="111"/>
      <c r="H77" s="111"/>
      <c r="I77" s="294">
        <f t="shared" si="5"/>
        <v>0</v>
      </c>
      <c r="J77" s="298">
        <f t="shared" si="6"/>
        <v>0</v>
      </c>
      <c r="K77" s="301" t="str">
        <f t="shared" si="7"/>
        <v>42/49</v>
      </c>
      <c r="L77" s="339" t="str">
        <f t="shared" si="8"/>
        <v>B</v>
      </c>
      <c r="M77" s="139" t="str">
        <f>IF(J77&gt;=DashBoard!$O$11,"Pass","Echoue")</f>
        <v>Echoue</v>
      </c>
      <c r="AD77" s="338" t="str">
        <f t="shared" si="9"/>
        <v>B</v>
      </c>
    </row>
    <row r="78" spans="1:30" ht="15.75" thickBot="1" x14ac:dyDescent="0.3">
      <c r="A78" s="153"/>
      <c r="B78" s="8"/>
      <c r="C78" s="8"/>
      <c r="D78" s="23"/>
      <c r="E78" s="51"/>
      <c r="F78" s="111"/>
      <c r="G78" s="111"/>
      <c r="H78" s="111"/>
      <c r="I78" s="294">
        <f t="shared" si="5"/>
        <v>0</v>
      </c>
      <c r="J78" s="298">
        <f t="shared" si="6"/>
        <v>0</v>
      </c>
      <c r="K78" s="301" t="str">
        <f t="shared" si="7"/>
        <v>42/49</v>
      </c>
      <c r="L78" s="339" t="str">
        <f t="shared" si="8"/>
        <v>B</v>
      </c>
      <c r="M78" s="139" t="str">
        <f>IF(J78&gt;=DashBoard!$O$11,"Pass","Echoue")</f>
        <v>Echoue</v>
      </c>
      <c r="AD78" s="338" t="str">
        <f t="shared" si="9"/>
        <v>B</v>
      </c>
    </row>
    <row r="79" spans="1:30" ht="15.75" thickBot="1" x14ac:dyDescent="0.3">
      <c r="A79" s="153"/>
      <c r="B79" s="8"/>
      <c r="C79" s="8"/>
      <c r="D79" s="23"/>
      <c r="E79" s="51"/>
      <c r="F79" s="111"/>
      <c r="G79" s="111"/>
      <c r="H79" s="111"/>
      <c r="I79" s="294">
        <f t="shared" si="5"/>
        <v>0</v>
      </c>
      <c r="J79" s="298">
        <f t="shared" si="6"/>
        <v>0</v>
      </c>
      <c r="K79" s="301" t="str">
        <f t="shared" si="7"/>
        <v>42/49</v>
      </c>
      <c r="L79" s="339" t="str">
        <f t="shared" si="8"/>
        <v>B</v>
      </c>
      <c r="M79" s="139" t="str">
        <f>IF(J79&gt;=DashBoard!$O$11,"Pass","Echoue")</f>
        <v>Echoue</v>
      </c>
      <c r="AD79" s="338" t="str">
        <f t="shared" si="9"/>
        <v>B</v>
      </c>
    </row>
    <row r="80" spans="1:30" ht="15.75" thickBot="1" x14ac:dyDescent="0.3">
      <c r="A80" s="153"/>
      <c r="B80" s="8"/>
      <c r="C80" s="8"/>
      <c r="D80" s="23"/>
      <c r="E80" s="51"/>
      <c r="F80" s="111"/>
      <c r="G80" s="111"/>
      <c r="H80" s="111"/>
      <c r="I80" s="294">
        <f t="shared" si="5"/>
        <v>0</v>
      </c>
      <c r="J80" s="298">
        <f t="shared" si="6"/>
        <v>0</v>
      </c>
      <c r="K80" s="301" t="str">
        <f t="shared" si="7"/>
        <v>42/49</v>
      </c>
      <c r="L80" s="339" t="str">
        <f t="shared" si="8"/>
        <v>B</v>
      </c>
      <c r="M80" s="139" t="str">
        <f>IF(J80&gt;=DashBoard!$O$11,"Pass","Echoue")</f>
        <v>Echoue</v>
      </c>
      <c r="AD80" s="338" t="str">
        <f t="shared" si="9"/>
        <v>B</v>
      </c>
    </row>
    <row r="81" spans="1:30" ht="15.75" thickBot="1" x14ac:dyDescent="0.3">
      <c r="A81" s="153"/>
      <c r="B81" s="8"/>
      <c r="C81" s="8"/>
      <c r="D81" s="23"/>
      <c r="E81" s="51"/>
      <c r="F81" s="111"/>
      <c r="G81" s="111"/>
      <c r="H81" s="111"/>
      <c r="I81" s="294">
        <f t="shared" si="5"/>
        <v>0</v>
      </c>
      <c r="J81" s="298">
        <f t="shared" si="6"/>
        <v>0</v>
      </c>
      <c r="K81" s="301" t="str">
        <f t="shared" si="7"/>
        <v>42/49</v>
      </c>
      <c r="L81" s="339" t="str">
        <f t="shared" si="8"/>
        <v>B</v>
      </c>
      <c r="M81" s="139" t="str">
        <f>IF(J81&gt;=DashBoard!$O$11,"Pass","Echoue")</f>
        <v>Echoue</v>
      </c>
      <c r="AD81" s="338" t="str">
        <f t="shared" si="9"/>
        <v>B</v>
      </c>
    </row>
    <row r="82" spans="1:30" ht="15.75" thickBot="1" x14ac:dyDescent="0.3">
      <c r="A82" s="153"/>
      <c r="B82" s="8"/>
      <c r="C82" s="8"/>
      <c r="D82" s="23"/>
      <c r="E82" s="51"/>
      <c r="F82" s="111"/>
      <c r="G82" s="111"/>
      <c r="H82" s="111"/>
      <c r="I82" s="294">
        <f t="shared" ref="I82:I122" si="10">SUM(F82:H82)</f>
        <v>0</v>
      </c>
      <c r="J82" s="298">
        <f t="shared" ref="J82:J122" si="11">(I82/$I$15)*100</f>
        <v>0</v>
      </c>
      <c r="K82" s="301" t="str">
        <f t="shared" ref="K82:K122" si="12">RANK(J82,J$17:J$122,0) &amp;"/"&amp; COUNTA($B$17:$B$122)</f>
        <v>42/49</v>
      </c>
      <c r="L82" s="339" t="str">
        <f t="shared" ref="L82:L122" si="13">IF(AA82&gt;60,"TB","B")</f>
        <v>B</v>
      </c>
      <c r="M82" s="139" t="str">
        <f>IF(J82&gt;=DashBoard!$O$11,"Pass","Echoue")</f>
        <v>Echoue</v>
      </c>
      <c r="AD82" s="338" t="str">
        <f t="shared" ref="AD82:AD122" si="14">IF(AB82&gt;60,"TB","B")</f>
        <v>B</v>
      </c>
    </row>
    <row r="83" spans="1:30" ht="15.75" thickBot="1" x14ac:dyDescent="0.3">
      <c r="A83" s="153"/>
      <c r="B83" s="8"/>
      <c r="C83" s="8"/>
      <c r="D83" s="23"/>
      <c r="E83" s="51"/>
      <c r="F83" s="111"/>
      <c r="G83" s="111"/>
      <c r="H83" s="111"/>
      <c r="I83" s="294">
        <f t="shared" si="10"/>
        <v>0</v>
      </c>
      <c r="J83" s="298">
        <f t="shared" si="11"/>
        <v>0</v>
      </c>
      <c r="K83" s="301" t="str">
        <f t="shared" si="12"/>
        <v>42/49</v>
      </c>
      <c r="L83" s="339" t="str">
        <f t="shared" si="13"/>
        <v>B</v>
      </c>
      <c r="M83" s="139" t="str">
        <f>IF(J83&gt;=DashBoard!$O$11,"Pass","Echoue")</f>
        <v>Echoue</v>
      </c>
      <c r="AD83" s="338" t="str">
        <f t="shared" si="14"/>
        <v>B</v>
      </c>
    </row>
    <row r="84" spans="1:30" ht="15.75" thickBot="1" x14ac:dyDescent="0.3">
      <c r="A84" s="153"/>
      <c r="B84" s="8"/>
      <c r="C84" s="8"/>
      <c r="D84" s="23"/>
      <c r="E84" s="51"/>
      <c r="F84" s="111"/>
      <c r="G84" s="111"/>
      <c r="H84" s="111"/>
      <c r="I84" s="294">
        <f t="shared" si="10"/>
        <v>0</v>
      </c>
      <c r="J84" s="298">
        <f t="shared" si="11"/>
        <v>0</v>
      </c>
      <c r="K84" s="301" t="str">
        <f t="shared" si="12"/>
        <v>42/49</v>
      </c>
      <c r="L84" s="339" t="str">
        <f t="shared" si="13"/>
        <v>B</v>
      </c>
      <c r="M84" s="139" t="str">
        <f>IF(J84&gt;=DashBoard!$O$11,"Pass","Echoue")</f>
        <v>Echoue</v>
      </c>
      <c r="AD84" s="338" t="str">
        <f t="shared" si="14"/>
        <v>B</v>
      </c>
    </row>
    <row r="85" spans="1:30" ht="15.75" thickBot="1" x14ac:dyDescent="0.3">
      <c r="A85" s="153"/>
      <c r="B85" s="8"/>
      <c r="C85" s="8"/>
      <c r="D85" s="23"/>
      <c r="E85" s="51"/>
      <c r="F85" s="111"/>
      <c r="G85" s="111"/>
      <c r="H85" s="111"/>
      <c r="I85" s="294">
        <f t="shared" si="10"/>
        <v>0</v>
      </c>
      <c r="J85" s="298">
        <f t="shared" si="11"/>
        <v>0</v>
      </c>
      <c r="K85" s="301" t="str">
        <f t="shared" si="12"/>
        <v>42/49</v>
      </c>
      <c r="L85" s="339" t="str">
        <f t="shared" si="13"/>
        <v>B</v>
      </c>
      <c r="M85" s="139" t="str">
        <f>IF(J85&gt;=DashBoard!$O$11,"Pass","Echoue")</f>
        <v>Echoue</v>
      </c>
      <c r="AD85" s="338" t="str">
        <f t="shared" si="14"/>
        <v>B</v>
      </c>
    </row>
    <row r="86" spans="1:30" ht="15.75" thickBot="1" x14ac:dyDescent="0.3">
      <c r="A86" s="153"/>
      <c r="B86" s="8"/>
      <c r="C86" s="8"/>
      <c r="D86" s="23"/>
      <c r="E86" s="51"/>
      <c r="F86" s="111"/>
      <c r="G86" s="111"/>
      <c r="H86" s="111"/>
      <c r="I86" s="294">
        <f t="shared" si="10"/>
        <v>0</v>
      </c>
      <c r="J86" s="298">
        <f t="shared" si="11"/>
        <v>0</v>
      </c>
      <c r="K86" s="301" t="str">
        <f t="shared" si="12"/>
        <v>42/49</v>
      </c>
      <c r="L86" s="339" t="str">
        <f t="shared" si="13"/>
        <v>B</v>
      </c>
      <c r="M86" s="139" t="str">
        <f>IF(J86&gt;=DashBoard!$O$11,"Pass","Echoue")</f>
        <v>Echoue</v>
      </c>
      <c r="AD86" s="338" t="str">
        <f t="shared" si="14"/>
        <v>B</v>
      </c>
    </row>
    <row r="87" spans="1:30" ht="15.75" thickBot="1" x14ac:dyDescent="0.3">
      <c r="A87" s="153"/>
      <c r="B87" s="8"/>
      <c r="C87" s="8"/>
      <c r="D87" s="23"/>
      <c r="E87" s="51"/>
      <c r="F87" s="111"/>
      <c r="G87" s="111"/>
      <c r="H87" s="111"/>
      <c r="I87" s="294">
        <f t="shared" si="10"/>
        <v>0</v>
      </c>
      <c r="J87" s="298">
        <f t="shared" si="11"/>
        <v>0</v>
      </c>
      <c r="K87" s="301" t="str">
        <f t="shared" si="12"/>
        <v>42/49</v>
      </c>
      <c r="L87" s="339" t="str">
        <f t="shared" si="13"/>
        <v>B</v>
      </c>
      <c r="M87" s="139" t="str">
        <f>IF(J87&gt;=DashBoard!$O$11,"Pass","Echoue")</f>
        <v>Echoue</v>
      </c>
      <c r="AD87" s="338" t="str">
        <f t="shared" si="14"/>
        <v>B</v>
      </c>
    </row>
    <row r="88" spans="1:30" ht="15.75" thickBot="1" x14ac:dyDescent="0.3">
      <c r="A88" s="153"/>
      <c r="B88" s="8"/>
      <c r="C88" s="8"/>
      <c r="D88" s="23"/>
      <c r="E88" s="51"/>
      <c r="F88" s="111"/>
      <c r="G88" s="111"/>
      <c r="H88" s="111"/>
      <c r="I88" s="294">
        <f t="shared" si="10"/>
        <v>0</v>
      </c>
      <c r="J88" s="298">
        <f t="shared" si="11"/>
        <v>0</v>
      </c>
      <c r="K88" s="301" t="str">
        <f t="shared" si="12"/>
        <v>42/49</v>
      </c>
      <c r="L88" s="339" t="str">
        <f t="shared" si="13"/>
        <v>B</v>
      </c>
      <c r="M88" s="139" t="str">
        <f>IF(J88&gt;=DashBoard!$O$11,"Pass","Echoue")</f>
        <v>Echoue</v>
      </c>
      <c r="AD88" s="338" t="str">
        <f t="shared" si="14"/>
        <v>B</v>
      </c>
    </row>
    <row r="89" spans="1:30" ht="15.75" thickBot="1" x14ac:dyDescent="0.3">
      <c r="A89" s="153"/>
      <c r="B89" s="8"/>
      <c r="C89" s="8"/>
      <c r="D89" s="23"/>
      <c r="E89" s="51"/>
      <c r="F89" s="111"/>
      <c r="G89" s="111"/>
      <c r="H89" s="111"/>
      <c r="I89" s="294">
        <f t="shared" si="10"/>
        <v>0</v>
      </c>
      <c r="J89" s="298">
        <f t="shared" si="11"/>
        <v>0</v>
      </c>
      <c r="K89" s="301" t="str">
        <f t="shared" si="12"/>
        <v>42/49</v>
      </c>
      <c r="L89" s="339" t="str">
        <f t="shared" si="13"/>
        <v>B</v>
      </c>
      <c r="M89" s="139" t="str">
        <f>IF(J89&gt;=DashBoard!$O$11,"Pass","Echoue")</f>
        <v>Echoue</v>
      </c>
      <c r="AD89" s="338" t="str">
        <f t="shared" si="14"/>
        <v>B</v>
      </c>
    </row>
    <row r="90" spans="1:30" ht="15.75" thickBot="1" x14ac:dyDescent="0.3">
      <c r="A90" s="153"/>
      <c r="B90" s="8"/>
      <c r="C90" s="8"/>
      <c r="D90" s="23"/>
      <c r="E90" s="51"/>
      <c r="F90" s="111"/>
      <c r="G90" s="111"/>
      <c r="H90" s="111"/>
      <c r="I90" s="294">
        <f t="shared" si="10"/>
        <v>0</v>
      </c>
      <c r="J90" s="298">
        <f t="shared" si="11"/>
        <v>0</v>
      </c>
      <c r="K90" s="301" t="str">
        <f t="shared" si="12"/>
        <v>42/49</v>
      </c>
      <c r="L90" s="339" t="str">
        <f t="shared" si="13"/>
        <v>B</v>
      </c>
      <c r="M90" s="139" t="str">
        <f>IF(J90&gt;=DashBoard!$O$11,"Pass","Echoue")</f>
        <v>Echoue</v>
      </c>
      <c r="AD90" s="338" t="str">
        <f t="shared" si="14"/>
        <v>B</v>
      </c>
    </row>
    <row r="91" spans="1:30" ht="15.75" thickBot="1" x14ac:dyDescent="0.3">
      <c r="A91" s="153"/>
      <c r="B91" s="8"/>
      <c r="C91" s="8"/>
      <c r="D91" s="23"/>
      <c r="E91" s="51"/>
      <c r="F91" s="111"/>
      <c r="G91" s="111"/>
      <c r="H91" s="111"/>
      <c r="I91" s="294">
        <f t="shared" si="10"/>
        <v>0</v>
      </c>
      <c r="J91" s="298">
        <f t="shared" si="11"/>
        <v>0</v>
      </c>
      <c r="K91" s="301" t="str">
        <f t="shared" si="12"/>
        <v>42/49</v>
      </c>
      <c r="L91" s="339" t="str">
        <f t="shared" si="13"/>
        <v>B</v>
      </c>
      <c r="M91" s="139" t="str">
        <f>IF(J91&gt;=DashBoard!$O$11,"Pass","Echoue")</f>
        <v>Echoue</v>
      </c>
      <c r="AD91" s="338" t="str">
        <f t="shared" si="14"/>
        <v>B</v>
      </c>
    </row>
    <row r="92" spans="1:30" ht="15.75" thickBot="1" x14ac:dyDescent="0.3">
      <c r="A92" s="153"/>
      <c r="B92" s="8"/>
      <c r="C92" s="8"/>
      <c r="D92" s="23"/>
      <c r="E92" s="51"/>
      <c r="F92" s="111"/>
      <c r="G92" s="111"/>
      <c r="H92" s="111"/>
      <c r="I92" s="294">
        <f t="shared" si="10"/>
        <v>0</v>
      </c>
      <c r="J92" s="298">
        <f t="shared" si="11"/>
        <v>0</v>
      </c>
      <c r="K92" s="301" t="str">
        <f t="shared" si="12"/>
        <v>42/49</v>
      </c>
      <c r="L92" s="339" t="str">
        <f t="shared" si="13"/>
        <v>B</v>
      </c>
      <c r="M92" s="139" t="str">
        <f>IF(J92&gt;=DashBoard!$O$11,"Pass","Echoue")</f>
        <v>Echoue</v>
      </c>
      <c r="AD92" s="338" t="str">
        <f t="shared" si="14"/>
        <v>B</v>
      </c>
    </row>
    <row r="93" spans="1:30" ht="15.75" thickBot="1" x14ac:dyDescent="0.3">
      <c r="A93" s="153"/>
      <c r="B93" s="8"/>
      <c r="C93" s="8"/>
      <c r="D93" s="23"/>
      <c r="E93" s="51"/>
      <c r="F93" s="111"/>
      <c r="G93" s="111"/>
      <c r="H93" s="111"/>
      <c r="I93" s="294">
        <f t="shared" si="10"/>
        <v>0</v>
      </c>
      <c r="J93" s="298">
        <f t="shared" si="11"/>
        <v>0</v>
      </c>
      <c r="K93" s="301" t="str">
        <f t="shared" si="12"/>
        <v>42/49</v>
      </c>
      <c r="L93" s="339" t="str">
        <f t="shared" si="13"/>
        <v>B</v>
      </c>
      <c r="M93" s="139" t="str">
        <f>IF(J93&gt;=DashBoard!$O$11,"Pass","Echoue")</f>
        <v>Echoue</v>
      </c>
      <c r="AD93" s="338" t="str">
        <f t="shared" si="14"/>
        <v>B</v>
      </c>
    </row>
    <row r="94" spans="1:30" ht="15.75" thickBot="1" x14ac:dyDescent="0.3">
      <c r="A94" s="153"/>
      <c r="B94" s="8"/>
      <c r="C94" s="8"/>
      <c r="D94" s="23"/>
      <c r="E94" s="51"/>
      <c r="F94" s="111"/>
      <c r="G94" s="111"/>
      <c r="H94" s="111"/>
      <c r="I94" s="294">
        <f t="shared" si="10"/>
        <v>0</v>
      </c>
      <c r="J94" s="298">
        <f t="shared" si="11"/>
        <v>0</v>
      </c>
      <c r="K94" s="301" t="str">
        <f t="shared" si="12"/>
        <v>42/49</v>
      </c>
      <c r="L94" s="339" t="str">
        <f t="shared" si="13"/>
        <v>B</v>
      </c>
      <c r="M94" s="139" t="str">
        <f>IF(J94&gt;=DashBoard!$O$11,"Pass","Echoue")</f>
        <v>Echoue</v>
      </c>
      <c r="AD94" s="338" t="str">
        <f t="shared" si="14"/>
        <v>B</v>
      </c>
    </row>
    <row r="95" spans="1:30" ht="15.75" thickBot="1" x14ac:dyDescent="0.3">
      <c r="A95" s="153"/>
      <c r="B95" s="8"/>
      <c r="C95" s="8"/>
      <c r="D95" s="23"/>
      <c r="E95" s="51"/>
      <c r="F95" s="111"/>
      <c r="G95" s="111"/>
      <c r="H95" s="111"/>
      <c r="I95" s="294">
        <f t="shared" si="10"/>
        <v>0</v>
      </c>
      <c r="J95" s="298">
        <f t="shared" si="11"/>
        <v>0</v>
      </c>
      <c r="K95" s="301" t="str">
        <f t="shared" si="12"/>
        <v>42/49</v>
      </c>
      <c r="L95" s="339" t="str">
        <f t="shared" si="13"/>
        <v>B</v>
      </c>
      <c r="M95" s="139" t="str">
        <f>IF(J95&gt;=DashBoard!$O$11,"Pass","Echoue")</f>
        <v>Echoue</v>
      </c>
      <c r="AD95" s="338" t="str">
        <f t="shared" si="14"/>
        <v>B</v>
      </c>
    </row>
    <row r="96" spans="1:30" ht="15.75" thickBot="1" x14ac:dyDescent="0.3">
      <c r="A96" s="153"/>
      <c r="B96" s="8"/>
      <c r="C96" s="8"/>
      <c r="D96" s="23"/>
      <c r="E96" s="51"/>
      <c r="F96" s="111"/>
      <c r="G96" s="111"/>
      <c r="H96" s="111"/>
      <c r="I96" s="294">
        <f t="shared" si="10"/>
        <v>0</v>
      </c>
      <c r="J96" s="298">
        <f t="shared" si="11"/>
        <v>0</v>
      </c>
      <c r="K96" s="301" t="str">
        <f t="shared" si="12"/>
        <v>42/49</v>
      </c>
      <c r="L96" s="339" t="str">
        <f t="shared" si="13"/>
        <v>B</v>
      </c>
      <c r="M96" s="139" t="str">
        <f>IF(J96&gt;=DashBoard!$O$11,"Pass","Echoue")</f>
        <v>Echoue</v>
      </c>
      <c r="AD96" s="338" t="str">
        <f t="shared" si="14"/>
        <v>B</v>
      </c>
    </row>
    <row r="97" spans="1:30" ht="15.75" thickBot="1" x14ac:dyDescent="0.3">
      <c r="A97" s="153"/>
      <c r="B97" s="8"/>
      <c r="C97" s="8"/>
      <c r="D97" s="23"/>
      <c r="E97" s="51"/>
      <c r="F97" s="111"/>
      <c r="G97" s="111"/>
      <c r="H97" s="111"/>
      <c r="I97" s="294">
        <f t="shared" si="10"/>
        <v>0</v>
      </c>
      <c r="J97" s="298">
        <f t="shared" si="11"/>
        <v>0</v>
      </c>
      <c r="K97" s="301" t="str">
        <f t="shared" si="12"/>
        <v>42/49</v>
      </c>
      <c r="L97" s="339" t="str">
        <f t="shared" si="13"/>
        <v>B</v>
      </c>
      <c r="M97" s="139" t="str">
        <f>IF(J97&gt;=DashBoard!$O$11,"Pass","Echoue")</f>
        <v>Echoue</v>
      </c>
      <c r="AD97" s="338" t="str">
        <f t="shared" si="14"/>
        <v>B</v>
      </c>
    </row>
    <row r="98" spans="1:30" ht="15.75" thickBot="1" x14ac:dyDescent="0.3">
      <c r="A98" s="153"/>
      <c r="B98" s="8"/>
      <c r="C98" s="8"/>
      <c r="D98" s="23"/>
      <c r="E98" s="51"/>
      <c r="F98" s="111"/>
      <c r="G98" s="111"/>
      <c r="H98" s="111"/>
      <c r="I98" s="294">
        <f t="shared" si="10"/>
        <v>0</v>
      </c>
      <c r="J98" s="298">
        <f t="shared" si="11"/>
        <v>0</v>
      </c>
      <c r="K98" s="301" t="str">
        <f t="shared" si="12"/>
        <v>42/49</v>
      </c>
      <c r="L98" s="339" t="str">
        <f t="shared" si="13"/>
        <v>B</v>
      </c>
      <c r="M98" s="139" t="str">
        <f>IF(J98&gt;=DashBoard!$O$11,"Pass","Echoue")</f>
        <v>Echoue</v>
      </c>
      <c r="AD98" s="338" t="str">
        <f t="shared" si="14"/>
        <v>B</v>
      </c>
    </row>
    <row r="99" spans="1:30" ht="15.75" thickBot="1" x14ac:dyDescent="0.3">
      <c r="A99" s="153"/>
      <c r="B99" s="8"/>
      <c r="C99" s="8"/>
      <c r="D99" s="23"/>
      <c r="E99" s="51"/>
      <c r="F99" s="111"/>
      <c r="G99" s="111"/>
      <c r="H99" s="111"/>
      <c r="I99" s="294">
        <f t="shared" si="10"/>
        <v>0</v>
      </c>
      <c r="J99" s="298">
        <f t="shared" si="11"/>
        <v>0</v>
      </c>
      <c r="K99" s="301" t="str">
        <f t="shared" si="12"/>
        <v>42/49</v>
      </c>
      <c r="L99" s="339" t="str">
        <f t="shared" si="13"/>
        <v>B</v>
      </c>
      <c r="M99" s="139" t="str">
        <f>IF(J99&gt;=DashBoard!$O$11,"Pass","Echoue")</f>
        <v>Echoue</v>
      </c>
      <c r="AD99" s="338" t="str">
        <f t="shared" si="14"/>
        <v>B</v>
      </c>
    </row>
    <row r="100" spans="1:30" ht="15.75" thickBot="1" x14ac:dyDescent="0.3">
      <c r="A100" s="153"/>
      <c r="B100" s="8"/>
      <c r="C100" s="8"/>
      <c r="D100" s="23"/>
      <c r="E100" s="51"/>
      <c r="F100" s="111"/>
      <c r="G100" s="111"/>
      <c r="H100" s="111"/>
      <c r="I100" s="294">
        <f t="shared" si="10"/>
        <v>0</v>
      </c>
      <c r="J100" s="298">
        <f t="shared" si="11"/>
        <v>0</v>
      </c>
      <c r="K100" s="301" t="str">
        <f t="shared" si="12"/>
        <v>42/49</v>
      </c>
      <c r="L100" s="339" t="str">
        <f t="shared" si="13"/>
        <v>B</v>
      </c>
      <c r="M100" s="139" t="str">
        <f>IF(J100&gt;=DashBoard!$O$11,"Pass","Echoue")</f>
        <v>Echoue</v>
      </c>
      <c r="AD100" s="338" t="str">
        <f t="shared" si="14"/>
        <v>B</v>
      </c>
    </row>
    <row r="101" spans="1:30" ht="15.75" thickBot="1" x14ac:dyDescent="0.3">
      <c r="A101" s="153"/>
      <c r="B101" s="8"/>
      <c r="C101" s="8"/>
      <c r="D101" s="23"/>
      <c r="E101" s="51"/>
      <c r="F101" s="111"/>
      <c r="G101" s="111"/>
      <c r="H101" s="111"/>
      <c r="I101" s="294">
        <f t="shared" si="10"/>
        <v>0</v>
      </c>
      <c r="J101" s="298">
        <f t="shared" si="11"/>
        <v>0</v>
      </c>
      <c r="K101" s="301" t="str">
        <f t="shared" si="12"/>
        <v>42/49</v>
      </c>
      <c r="L101" s="339" t="str">
        <f t="shared" si="13"/>
        <v>B</v>
      </c>
      <c r="M101" s="139" t="str">
        <f>IF(J101&gt;=DashBoard!$O$11,"Pass","Echoue")</f>
        <v>Echoue</v>
      </c>
      <c r="AD101" s="338" t="str">
        <f t="shared" si="14"/>
        <v>B</v>
      </c>
    </row>
    <row r="102" spans="1:30" ht="15.75" thickBot="1" x14ac:dyDescent="0.3">
      <c r="A102" s="153"/>
      <c r="B102" s="8"/>
      <c r="C102" s="8"/>
      <c r="D102" s="23"/>
      <c r="E102" s="51"/>
      <c r="F102" s="111"/>
      <c r="G102" s="111"/>
      <c r="H102" s="111"/>
      <c r="I102" s="294">
        <f t="shared" si="10"/>
        <v>0</v>
      </c>
      <c r="J102" s="298">
        <f t="shared" si="11"/>
        <v>0</v>
      </c>
      <c r="K102" s="301" t="str">
        <f t="shared" si="12"/>
        <v>42/49</v>
      </c>
      <c r="L102" s="339" t="str">
        <f t="shared" si="13"/>
        <v>B</v>
      </c>
      <c r="M102" s="139" t="str">
        <f>IF(J102&gt;=DashBoard!$O$11,"Pass","Echoue")</f>
        <v>Echoue</v>
      </c>
      <c r="AD102" s="338" t="str">
        <f t="shared" si="14"/>
        <v>B</v>
      </c>
    </row>
    <row r="103" spans="1:30" ht="15.75" thickBot="1" x14ac:dyDescent="0.3">
      <c r="A103" s="153"/>
      <c r="B103" s="8"/>
      <c r="C103" s="8"/>
      <c r="D103" s="23"/>
      <c r="E103" s="51"/>
      <c r="F103" s="111"/>
      <c r="G103" s="111"/>
      <c r="H103" s="111"/>
      <c r="I103" s="294">
        <f t="shared" si="10"/>
        <v>0</v>
      </c>
      <c r="J103" s="298">
        <f t="shared" si="11"/>
        <v>0</v>
      </c>
      <c r="K103" s="301" t="str">
        <f t="shared" si="12"/>
        <v>42/49</v>
      </c>
      <c r="L103" s="339" t="str">
        <f t="shared" si="13"/>
        <v>B</v>
      </c>
      <c r="M103" s="139" t="str">
        <f>IF(J103&gt;=DashBoard!$O$11,"Pass","Echoue")</f>
        <v>Echoue</v>
      </c>
      <c r="AD103" s="338" t="str">
        <f t="shared" si="14"/>
        <v>B</v>
      </c>
    </row>
    <row r="104" spans="1:30" ht="15.75" thickBot="1" x14ac:dyDescent="0.3">
      <c r="A104" s="153"/>
      <c r="B104" s="8"/>
      <c r="C104" s="8"/>
      <c r="D104" s="23"/>
      <c r="E104" s="51"/>
      <c r="F104" s="111"/>
      <c r="G104" s="111"/>
      <c r="H104" s="111"/>
      <c r="I104" s="294">
        <f t="shared" si="10"/>
        <v>0</v>
      </c>
      <c r="J104" s="298">
        <f t="shared" si="11"/>
        <v>0</v>
      </c>
      <c r="K104" s="301" t="str">
        <f t="shared" si="12"/>
        <v>42/49</v>
      </c>
      <c r="L104" s="339" t="str">
        <f t="shared" si="13"/>
        <v>B</v>
      </c>
      <c r="M104" s="139" t="str">
        <f>IF(J104&gt;=DashBoard!$O$11,"Pass","Echoue")</f>
        <v>Echoue</v>
      </c>
      <c r="AD104" s="338" t="str">
        <f t="shared" si="14"/>
        <v>B</v>
      </c>
    </row>
    <row r="105" spans="1:30" ht="15.75" thickBot="1" x14ac:dyDescent="0.3">
      <c r="A105" s="153"/>
      <c r="B105" s="8"/>
      <c r="C105" s="8"/>
      <c r="D105" s="23"/>
      <c r="E105" s="51"/>
      <c r="F105" s="111"/>
      <c r="G105" s="111"/>
      <c r="H105" s="111"/>
      <c r="I105" s="294">
        <f t="shared" si="10"/>
        <v>0</v>
      </c>
      <c r="J105" s="298">
        <f t="shared" si="11"/>
        <v>0</v>
      </c>
      <c r="K105" s="301" t="str">
        <f t="shared" si="12"/>
        <v>42/49</v>
      </c>
      <c r="L105" s="339" t="str">
        <f t="shared" si="13"/>
        <v>B</v>
      </c>
      <c r="M105" s="139" t="str">
        <f>IF(J105&gt;=DashBoard!$O$11,"Pass","Echoue")</f>
        <v>Echoue</v>
      </c>
      <c r="AD105" s="338" t="str">
        <f t="shared" si="14"/>
        <v>B</v>
      </c>
    </row>
    <row r="106" spans="1:30" ht="15.75" thickBot="1" x14ac:dyDescent="0.3">
      <c r="A106" s="153"/>
      <c r="B106" s="8"/>
      <c r="C106" s="8"/>
      <c r="D106" s="23"/>
      <c r="E106" s="51"/>
      <c r="F106" s="111"/>
      <c r="G106" s="111"/>
      <c r="H106" s="111"/>
      <c r="I106" s="294">
        <f t="shared" si="10"/>
        <v>0</v>
      </c>
      <c r="J106" s="298">
        <f t="shared" si="11"/>
        <v>0</v>
      </c>
      <c r="K106" s="301" t="str">
        <f t="shared" si="12"/>
        <v>42/49</v>
      </c>
      <c r="L106" s="339" t="str">
        <f t="shared" si="13"/>
        <v>B</v>
      </c>
      <c r="M106" s="139" t="str">
        <f>IF(J106&gt;=DashBoard!$O$11,"Pass","Echoue")</f>
        <v>Echoue</v>
      </c>
      <c r="AD106" s="338" t="str">
        <f t="shared" si="14"/>
        <v>B</v>
      </c>
    </row>
    <row r="107" spans="1:30" ht="15.75" thickBot="1" x14ac:dyDescent="0.3">
      <c r="A107" s="153"/>
      <c r="B107" s="8"/>
      <c r="C107" s="8"/>
      <c r="D107" s="23"/>
      <c r="E107" s="51"/>
      <c r="F107" s="111"/>
      <c r="G107" s="111"/>
      <c r="H107" s="111"/>
      <c r="I107" s="294">
        <f t="shared" si="10"/>
        <v>0</v>
      </c>
      <c r="J107" s="298">
        <f t="shared" si="11"/>
        <v>0</v>
      </c>
      <c r="K107" s="301" t="str">
        <f t="shared" si="12"/>
        <v>42/49</v>
      </c>
      <c r="L107" s="339" t="str">
        <f t="shared" si="13"/>
        <v>B</v>
      </c>
      <c r="M107" s="139" t="str">
        <f>IF(J107&gt;=DashBoard!$O$11,"Pass","Echoue")</f>
        <v>Echoue</v>
      </c>
      <c r="AD107" s="338" t="str">
        <f t="shared" si="14"/>
        <v>B</v>
      </c>
    </row>
    <row r="108" spans="1:30" ht="15.75" thickBot="1" x14ac:dyDescent="0.3">
      <c r="A108" s="153"/>
      <c r="B108" s="8"/>
      <c r="C108" s="8"/>
      <c r="D108" s="23"/>
      <c r="E108" s="51"/>
      <c r="F108" s="111"/>
      <c r="G108" s="111"/>
      <c r="H108" s="111"/>
      <c r="I108" s="294">
        <f t="shared" si="10"/>
        <v>0</v>
      </c>
      <c r="J108" s="298">
        <f t="shared" si="11"/>
        <v>0</v>
      </c>
      <c r="K108" s="301" t="str">
        <f t="shared" si="12"/>
        <v>42/49</v>
      </c>
      <c r="L108" s="339" t="str">
        <f t="shared" si="13"/>
        <v>B</v>
      </c>
      <c r="M108" s="139" t="str">
        <f>IF(J108&gt;=DashBoard!$O$11,"Pass","Echoue")</f>
        <v>Echoue</v>
      </c>
      <c r="AD108" s="338" t="str">
        <f t="shared" si="14"/>
        <v>B</v>
      </c>
    </row>
    <row r="109" spans="1:30" ht="15.75" thickBot="1" x14ac:dyDescent="0.3">
      <c r="A109" s="153"/>
      <c r="B109" s="8"/>
      <c r="C109" s="8"/>
      <c r="D109" s="23"/>
      <c r="E109" s="51"/>
      <c r="F109" s="111"/>
      <c r="G109" s="111"/>
      <c r="H109" s="111"/>
      <c r="I109" s="294">
        <f t="shared" si="10"/>
        <v>0</v>
      </c>
      <c r="J109" s="298">
        <f t="shared" si="11"/>
        <v>0</v>
      </c>
      <c r="K109" s="301" t="str">
        <f t="shared" si="12"/>
        <v>42/49</v>
      </c>
      <c r="L109" s="339" t="str">
        <f t="shared" si="13"/>
        <v>B</v>
      </c>
      <c r="M109" s="139" t="str">
        <f>IF(J109&gt;=DashBoard!$O$11,"Pass","Echoue")</f>
        <v>Echoue</v>
      </c>
      <c r="AD109" s="338" t="str">
        <f t="shared" si="14"/>
        <v>B</v>
      </c>
    </row>
    <row r="110" spans="1:30" ht="15.75" thickBot="1" x14ac:dyDescent="0.3">
      <c r="A110" s="153"/>
      <c r="B110" s="8"/>
      <c r="C110" s="8"/>
      <c r="D110" s="23"/>
      <c r="E110" s="51"/>
      <c r="F110" s="111"/>
      <c r="G110" s="111"/>
      <c r="H110" s="111"/>
      <c r="I110" s="294">
        <f t="shared" si="10"/>
        <v>0</v>
      </c>
      <c r="J110" s="298">
        <f t="shared" si="11"/>
        <v>0</v>
      </c>
      <c r="K110" s="301" t="str">
        <f t="shared" si="12"/>
        <v>42/49</v>
      </c>
      <c r="L110" s="339" t="str">
        <f t="shared" si="13"/>
        <v>B</v>
      </c>
      <c r="M110" s="139" t="str">
        <f>IF(J110&gt;=DashBoard!$O$11,"Pass","Echoue")</f>
        <v>Echoue</v>
      </c>
      <c r="AD110" s="338" t="str">
        <f t="shared" si="14"/>
        <v>B</v>
      </c>
    </row>
    <row r="111" spans="1:30" ht="15.75" thickBot="1" x14ac:dyDescent="0.3">
      <c r="A111" s="153"/>
      <c r="B111" s="8"/>
      <c r="C111" s="8"/>
      <c r="D111" s="23"/>
      <c r="E111" s="51"/>
      <c r="F111" s="111"/>
      <c r="G111" s="111"/>
      <c r="H111" s="111"/>
      <c r="I111" s="294">
        <f t="shared" si="10"/>
        <v>0</v>
      </c>
      <c r="J111" s="298">
        <f t="shared" si="11"/>
        <v>0</v>
      </c>
      <c r="K111" s="301" t="str">
        <f t="shared" si="12"/>
        <v>42/49</v>
      </c>
      <c r="L111" s="339" t="str">
        <f t="shared" si="13"/>
        <v>B</v>
      </c>
      <c r="M111" s="139" t="str">
        <f>IF(J111&gt;=DashBoard!$O$11,"Pass","Echoue")</f>
        <v>Echoue</v>
      </c>
      <c r="AD111" s="338" t="str">
        <f t="shared" si="14"/>
        <v>B</v>
      </c>
    </row>
    <row r="112" spans="1:30" ht="15.75" thickBot="1" x14ac:dyDescent="0.3">
      <c r="A112" s="153"/>
      <c r="B112" s="8"/>
      <c r="C112" s="8"/>
      <c r="D112" s="23"/>
      <c r="E112" s="51"/>
      <c r="F112" s="111"/>
      <c r="G112" s="111"/>
      <c r="H112" s="111"/>
      <c r="I112" s="294">
        <f t="shared" si="10"/>
        <v>0</v>
      </c>
      <c r="J112" s="298">
        <f t="shared" si="11"/>
        <v>0</v>
      </c>
      <c r="K112" s="301" t="str">
        <f t="shared" si="12"/>
        <v>42/49</v>
      </c>
      <c r="L112" s="339" t="str">
        <f t="shared" si="13"/>
        <v>B</v>
      </c>
      <c r="M112" s="139" t="str">
        <f>IF(J112&gt;=DashBoard!$O$11,"Pass","Echoue")</f>
        <v>Echoue</v>
      </c>
      <c r="AD112" s="338" t="str">
        <f t="shared" si="14"/>
        <v>B</v>
      </c>
    </row>
    <row r="113" spans="1:30" ht="15.75" thickBot="1" x14ac:dyDescent="0.3">
      <c r="A113" s="153"/>
      <c r="B113" s="8"/>
      <c r="C113" s="8"/>
      <c r="D113" s="23"/>
      <c r="E113" s="51"/>
      <c r="F113" s="111"/>
      <c r="G113" s="111"/>
      <c r="H113" s="111"/>
      <c r="I113" s="294">
        <f t="shared" si="10"/>
        <v>0</v>
      </c>
      <c r="J113" s="298">
        <f t="shared" si="11"/>
        <v>0</v>
      </c>
      <c r="K113" s="301" t="str">
        <f t="shared" si="12"/>
        <v>42/49</v>
      </c>
      <c r="L113" s="339" t="str">
        <f t="shared" si="13"/>
        <v>B</v>
      </c>
      <c r="M113" s="139" t="str">
        <f>IF(J113&gt;=DashBoard!$O$11,"Pass","Echoue")</f>
        <v>Echoue</v>
      </c>
      <c r="AD113" s="338" t="str">
        <f t="shared" si="14"/>
        <v>B</v>
      </c>
    </row>
    <row r="114" spans="1:30" ht="15.75" thickBot="1" x14ac:dyDescent="0.3">
      <c r="A114" s="153"/>
      <c r="B114" s="8"/>
      <c r="C114" s="8"/>
      <c r="D114" s="23"/>
      <c r="E114" s="51"/>
      <c r="F114" s="111"/>
      <c r="G114" s="111"/>
      <c r="H114" s="111"/>
      <c r="I114" s="294">
        <f t="shared" si="10"/>
        <v>0</v>
      </c>
      <c r="J114" s="298">
        <f t="shared" si="11"/>
        <v>0</v>
      </c>
      <c r="K114" s="301" t="str">
        <f t="shared" si="12"/>
        <v>42/49</v>
      </c>
      <c r="L114" s="339" t="str">
        <f t="shared" si="13"/>
        <v>B</v>
      </c>
      <c r="M114" s="139" t="str">
        <f>IF(J114&gt;=DashBoard!$O$11,"Pass","Echoue")</f>
        <v>Echoue</v>
      </c>
      <c r="AD114" s="338" t="str">
        <f t="shared" si="14"/>
        <v>B</v>
      </c>
    </row>
    <row r="115" spans="1:30" ht="15.75" thickBot="1" x14ac:dyDescent="0.3">
      <c r="A115" s="153"/>
      <c r="B115" s="8"/>
      <c r="C115" s="8"/>
      <c r="D115" s="23"/>
      <c r="E115" s="51"/>
      <c r="F115" s="111"/>
      <c r="G115" s="111"/>
      <c r="H115" s="111"/>
      <c r="I115" s="294">
        <f t="shared" si="10"/>
        <v>0</v>
      </c>
      <c r="J115" s="298">
        <f t="shared" si="11"/>
        <v>0</v>
      </c>
      <c r="K115" s="301" t="str">
        <f t="shared" si="12"/>
        <v>42/49</v>
      </c>
      <c r="L115" s="339" t="str">
        <f t="shared" si="13"/>
        <v>B</v>
      </c>
      <c r="M115" s="139" t="str">
        <f>IF(J115&gt;=DashBoard!$O$11,"Pass","Echoue")</f>
        <v>Echoue</v>
      </c>
      <c r="AD115" s="338" t="str">
        <f t="shared" si="14"/>
        <v>B</v>
      </c>
    </row>
    <row r="116" spans="1:30" ht="15.75" thickBot="1" x14ac:dyDescent="0.3">
      <c r="A116" s="153"/>
      <c r="B116" s="8"/>
      <c r="C116" s="8"/>
      <c r="D116" s="23"/>
      <c r="E116" s="51"/>
      <c r="F116" s="111"/>
      <c r="G116" s="111"/>
      <c r="H116" s="111"/>
      <c r="I116" s="294">
        <f t="shared" si="10"/>
        <v>0</v>
      </c>
      <c r="J116" s="298">
        <f t="shared" si="11"/>
        <v>0</v>
      </c>
      <c r="K116" s="301" t="str">
        <f t="shared" si="12"/>
        <v>42/49</v>
      </c>
      <c r="L116" s="339" t="str">
        <f t="shared" si="13"/>
        <v>B</v>
      </c>
      <c r="M116" s="139" t="str">
        <f>IF(J116&gt;=DashBoard!$O$11,"Pass","Echoue")</f>
        <v>Echoue</v>
      </c>
      <c r="AD116" s="338" t="str">
        <f t="shared" si="14"/>
        <v>B</v>
      </c>
    </row>
    <row r="117" spans="1:30" ht="15.75" thickBot="1" x14ac:dyDescent="0.3">
      <c r="A117" s="153"/>
      <c r="B117" s="8"/>
      <c r="C117" s="8"/>
      <c r="D117" s="23"/>
      <c r="E117" s="51"/>
      <c r="F117" s="111"/>
      <c r="G117" s="111"/>
      <c r="H117" s="111"/>
      <c r="I117" s="294">
        <f t="shared" si="10"/>
        <v>0</v>
      </c>
      <c r="J117" s="298">
        <f t="shared" si="11"/>
        <v>0</v>
      </c>
      <c r="K117" s="301" t="str">
        <f t="shared" si="12"/>
        <v>42/49</v>
      </c>
      <c r="L117" s="339" t="str">
        <f t="shared" si="13"/>
        <v>B</v>
      </c>
      <c r="M117" s="139" t="str">
        <f>IF(J117&gt;=DashBoard!$O$11,"Pass","Echoue")</f>
        <v>Echoue</v>
      </c>
      <c r="AD117" s="338" t="str">
        <f t="shared" si="14"/>
        <v>B</v>
      </c>
    </row>
    <row r="118" spans="1:30" ht="15.75" thickBot="1" x14ac:dyDescent="0.3">
      <c r="A118" s="153"/>
      <c r="B118" s="8"/>
      <c r="C118" s="8"/>
      <c r="D118" s="23"/>
      <c r="E118" s="51"/>
      <c r="F118" s="111"/>
      <c r="G118" s="111"/>
      <c r="H118" s="111"/>
      <c r="I118" s="294">
        <f t="shared" si="10"/>
        <v>0</v>
      </c>
      <c r="J118" s="298">
        <f t="shared" si="11"/>
        <v>0</v>
      </c>
      <c r="K118" s="301" t="str">
        <f t="shared" si="12"/>
        <v>42/49</v>
      </c>
      <c r="L118" s="339" t="str">
        <f t="shared" si="13"/>
        <v>B</v>
      </c>
      <c r="M118" s="139" t="str">
        <f>IF(J118&gt;=DashBoard!$O$11,"Pass","Echoue")</f>
        <v>Echoue</v>
      </c>
      <c r="AD118" s="338" t="str">
        <f t="shared" si="14"/>
        <v>B</v>
      </c>
    </row>
    <row r="119" spans="1:30" ht="15.75" thickBot="1" x14ac:dyDescent="0.3">
      <c r="A119" s="153"/>
      <c r="B119" s="8"/>
      <c r="C119" s="8"/>
      <c r="D119" s="23"/>
      <c r="E119" s="51"/>
      <c r="F119" s="111"/>
      <c r="G119" s="111"/>
      <c r="H119" s="111"/>
      <c r="I119" s="294">
        <f t="shared" si="10"/>
        <v>0</v>
      </c>
      <c r="J119" s="298">
        <f t="shared" si="11"/>
        <v>0</v>
      </c>
      <c r="K119" s="301" t="str">
        <f t="shared" si="12"/>
        <v>42/49</v>
      </c>
      <c r="L119" s="339" t="str">
        <f t="shared" si="13"/>
        <v>B</v>
      </c>
      <c r="M119" s="139" t="str">
        <f>IF(J119&gt;=DashBoard!$O$11,"Pass","Echoue")</f>
        <v>Echoue</v>
      </c>
      <c r="AD119" s="338" t="str">
        <f t="shared" si="14"/>
        <v>B</v>
      </c>
    </row>
    <row r="120" spans="1:30" ht="15.75" thickBot="1" x14ac:dyDescent="0.3">
      <c r="A120" s="153"/>
      <c r="B120" s="8"/>
      <c r="C120" s="8"/>
      <c r="D120" s="23"/>
      <c r="E120" s="51"/>
      <c r="F120" s="111"/>
      <c r="G120" s="111"/>
      <c r="H120" s="111"/>
      <c r="I120" s="294">
        <f t="shared" si="10"/>
        <v>0</v>
      </c>
      <c r="J120" s="298">
        <f t="shared" si="11"/>
        <v>0</v>
      </c>
      <c r="K120" s="301" t="str">
        <f t="shared" si="12"/>
        <v>42/49</v>
      </c>
      <c r="L120" s="339" t="str">
        <f t="shared" si="13"/>
        <v>B</v>
      </c>
      <c r="M120" s="139" t="str">
        <f>IF(J120&gt;=DashBoard!$O$11,"Pass","Echoue")</f>
        <v>Echoue</v>
      </c>
      <c r="AD120" s="338" t="str">
        <f t="shared" si="14"/>
        <v>B</v>
      </c>
    </row>
    <row r="121" spans="1:30" ht="15.75" thickBot="1" x14ac:dyDescent="0.3">
      <c r="A121" s="153"/>
      <c r="B121" s="8"/>
      <c r="C121" s="8"/>
      <c r="D121" s="23"/>
      <c r="E121" s="51"/>
      <c r="F121" s="111"/>
      <c r="G121" s="111"/>
      <c r="H121" s="111"/>
      <c r="I121" s="294">
        <f t="shared" si="10"/>
        <v>0</v>
      </c>
      <c r="J121" s="298">
        <f t="shared" si="11"/>
        <v>0</v>
      </c>
      <c r="K121" s="301" t="str">
        <f t="shared" si="12"/>
        <v>42/49</v>
      </c>
      <c r="L121" s="339" t="str">
        <f t="shared" si="13"/>
        <v>B</v>
      </c>
      <c r="M121" s="139" t="str">
        <f>IF(J121&gt;=DashBoard!$O$11,"Pass","Echoue")</f>
        <v>Echoue</v>
      </c>
      <c r="AD121" s="338" t="str">
        <f t="shared" si="14"/>
        <v>B</v>
      </c>
    </row>
    <row r="122" spans="1:30" ht="15.75" thickBot="1" x14ac:dyDescent="0.3">
      <c r="A122" s="154"/>
      <c r="B122" s="9"/>
      <c r="C122" s="9"/>
      <c r="D122" s="25"/>
      <c r="E122" s="44"/>
      <c r="F122" s="115"/>
      <c r="G122" s="115"/>
      <c r="H122" s="115"/>
      <c r="I122" s="294">
        <f t="shared" si="10"/>
        <v>0</v>
      </c>
      <c r="J122" s="299">
        <f t="shared" si="11"/>
        <v>0</v>
      </c>
      <c r="K122" s="301" t="str">
        <f t="shared" si="12"/>
        <v>42/49</v>
      </c>
      <c r="L122" s="339" t="str">
        <f t="shared" si="13"/>
        <v>B</v>
      </c>
      <c r="M122" s="139" t="str">
        <f>IF(J122&gt;=DashBoard!$O$11,"Pass","Echoue")</f>
        <v>Echoue</v>
      </c>
      <c r="AD122" s="338" t="str">
        <f t="shared" si="14"/>
        <v>B</v>
      </c>
    </row>
  </sheetData>
  <sheetProtection selectLockedCells="1"/>
  <conditionalFormatting sqref="E17:E122">
    <cfRule type="containsText" dxfId="7" priority="2" operator="containsText" text="Abandon">
      <formula>NOT(ISERROR(SEARCH("Abandon",E17)))</formula>
    </cfRule>
    <cfRule type="expression" dxfId="6" priority="3">
      <formula>E17 = "Abandon"</formula>
    </cfRule>
  </conditionalFormatting>
  <conditionalFormatting sqref="F17:H122">
    <cfRule type="cellIs" dxfId="5" priority="1" operator="lessThan">
      <formula>F$15/2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3B93A-CC6E-41DD-9377-37351A4B4092}">
  <sheetPr codeName="Feuil13"/>
  <dimension ref="A1:AD122"/>
  <sheetViews>
    <sheetView topLeftCell="A5" zoomScale="80" zoomScaleNormal="80" workbookViewId="0">
      <selection activeCell="L14" sqref="L14"/>
    </sheetView>
  </sheetViews>
  <sheetFormatPr baseColWidth="10" defaultRowHeight="15" x14ac:dyDescent="0.25"/>
  <cols>
    <col min="1" max="1" width="14.28515625" customWidth="1"/>
    <col min="2" max="2" width="46.5703125" customWidth="1"/>
    <col min="3" max="3" width="5.42578125" customWidth="1"/>
    <col min="4" max="4" width="22" customWidth="1"/>
    <col min="5" max="5" width="9.42578125" customWidth="1"/>
    <col min="6" max="11" width="5.7109375" customWidth="1"/>
    <col min="12" max="12" width="7" bestFit="1" customWidth="1"/>
    <col min="13" max="13" width="5.7109375" customWidth="1"/>
    <col min="14" max="14" width="6.42578125" bestFit="1" customWidth="1"/>
    <col min="15" max="15" width="18.28515625" customWidth="1"/>
    <col min="29" max="29" width="6.140625" customWidth="1"/>
  </cols>
  <sheetData>
    <row r="1" spans="1:30" ht="8.25" customHeight="1" x14ac:dyDescent="0.25"/>
    <row r="2" spans="1:30" ht="24" thickBot="1" x14ac:dyDescent="0.4">
      <c r="B2" s="80" t="str">
        <f>DashBoard!S7</f>
        <v>2ème HTS</v>
      </c>
      <c r="C2" s="81"/>
      <c r="D2" s="81"/>
      <c r="E2" s="81"/>
    </row>
    <row r="3" spans="1:30" ht="24" thickBot="1" x14ac:dyDescent="0.4">
      <c r="B3" s="82" t="s">
        <v>153</v>
      </c>
      <c r="C3" s="83"/>
      <c r="D3" s="84"/>
      <c r="E3" s="81"/>
      <c r="F3" s="105"/>
      <c r="G3" s="105"/>
      <c r="H3" s="105"/>
      <c r="I3" s="105"/>
      <c r="J3" s="105"/>
      <c r="K3" s="105"/>
      <c r="L3" s="105"/>
      <c r="M3" s="105"/>
      <c r="N3" s="105"/>
      <c r="O3" s="105"/>
    </row>
    <row r="4" spans="1:30" ht="8.25" customHeight="1" thickBot="1" x14ac:dyDescent="0.4">
      <c r="C4" s="87"/>
      <c r="D4" s="87"/>
      <c r="E4" s="87"/>
      <c r="F4" s="105"/>
      <c r="G4" s="87"/>
      <c r="H4" s="87"/>
      <c r="I4" s="87"/>
      <c r="J4" s="87"/>
      <c r="K4" s="87"/>
      <c r="L4" s="87"/>
      <c r="M4" s="87"/>
      <c r="N4" s="87"/>
      <c r="O4" s="87"/>
    </row>
    <row r="5" spans="1:30" ht="15.75" thickBot="1" x14ac:dyDescent="0.3">
      <c r="B5" s="62" t="s">
        <v>171</v>
      </c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2"/>
    </row>
    <row r="6" spans="1:30" x14ac:dyDescent="0.25">
      <c r="A6" s="88"/>
      <c r="B6" s="91" t="s">
        <v>164</v>
      </c>
      <c r="C6" s="92"/>
      <c r="D6" s="93"/>
      <c r="E6" s="93"/>
      <c r="F6" s="141">
        <f t="shared" ref="F6:H6" si="0">IFERROR(COUNTIF(F17:F122,"&gt;="&amp;F15/2),0)</f>
        <v>8</v>
      </c>
      <c r="G6" s="141">
        <f t="shared" si="0"/>
        <v>0</v>
      </c>
      <c r="H6" s="141">
        <f t="shared" si="0"/>
        <v>0</v>
      </c>
      <c r="I6" s="141">
        <f t="shared" ref="I6:K6" si="1">IFERROR(COUNTIF(I17:I122,"&gt;="&amp;I15/2),0)</f>
        <v>0</v>
      </c>
      <c r="J6" s="141">
        <f t="shared" si="1"/>
        <v>0</v>
      </c>
      <c r="K6" s="141">
        <f t="shared" si="1"/>
        <v>0</v>
      </c>
      <c r="L6" s="93"/>
      <c r="M6" s="93"/>
      <c r="N6" s="93"/>
      <c r="O6" s="94"/>
    </row>
    <row r="7" spans="1:30" x14ac:dyDescent="0.25">
      <c r="A7" s="88"/>
      <c r="B7" s="95" t="s">
        <v>165</v>
      </c>
      <c r="C7" s="90"/>
      <c r="D7" s="109"/>
      <c r="E7" s="109"/>
      <c r="F7" s="145">
        <f t="shared" ref="F7:H7" si="2">IFERROR(COUNTIF(F17:F122,"&lt;"&amp;F15/2),0)</f>
        <v>41</v>
      </c>
      <c r="G7" s="145">
        <f t="shared" si="2"/>
        <v>49</v>
      </c>
      <c r="H7" s="145">
        <f t="shared" si="2"/>
        <v>49</v>
      </c>
      <c r="I7" s="145">
        <f t="shared" ref="I7:K7" si="3">IFERROR(COUNTIF(I17:I122,"&lt;"&amp;I15/2),0)</f>
        <v>49</v>
      </c>
      <c r="J7" s="145">
        <f t="shared" si="3"/>
        <v>49</v>
      </c>
      <c r="K7" s="145">
        <f t="shared" si="3"/>
        <v>49</v>
      </c>
      <c r="L7" s="109"/>
      <c r="M7" s="109"/>
      <c r="N7" s="109"/>
      <c r="O7" s="96"/>
    </row>
    <row r="8" spans="1:30" s="85" customFormat="1" x14ac:dyDescent="0.25">
      <c r="A8" s="88"/>
      <c r="B8" s="95" t="s">
        <v>166</v>
      </c>
      <c r="C8" s="90"/>
      <c r="D8" s="109"/>
      <c r="E8" s="109"/>
      <c r="F8" s="145">
        <f>IFERROR(IF((COUNTIF(F17:F122,"") - (COUNTIF(F17:F122,"") - COUNTA(#REF!)))-COUNTA(F17:F122)&lt;0,0,(COUNTIF(F17:F122,"") - (COUNTIF(F17:F122,"") - COUNTA(#REF!)))-COUNTA(F17:F122)),0)</f>
        <v>0</v>
      </c>
      <c r="G8" s="145">
        <f>IFERROR(IF((COUNTIF(G17:G122,"") - (COUNTIF(G17:G122,"") - COUNTA(#REF!)))-COUNTA(G17:G122)&lt;0,0,(COUNTIF(G17:G122,"") - (COUNTIF(G17:G122,"") - COUNTA(#REF!)))-COUNTA(G17:G122)),0)</f>
        <v>0</v>
      </c>
      <c r="H8" s="145">
        <f>IFERROR(IF((COUNTIF(H17:H122,"") - (COUNTIF(H17:H122,"") - COUNTA(#REF!)))-COUNTA(H17:H122)&lt;0,0,(COUNTIF(H17:H122,"") - (COUNTIF(H17:H122,"") - COUNTA(#REF!)))-COUNTA(H17:H122)),0)</f>
        <v>0</v>
      </c>
      <c r="I8" s="145">
        <f>IFERROR(IF((COUNTIF(I17:I122,"") - (COUNTIF(I17:I122,"") - COUNTA(#REF!)))-COUNTA(I17:I122)&lt;0,0,(COUNTIF(I17:I122,"") - (COUNTIF(I17:I122,"") - COUNTA(#REF!)))-COUNTA(I17:I122)),0)</f>
        <v>0</v>
      </c>
      <c r="J8" s="145">
        <f>IFERROR(IF((COUNTIF(J17:J122,"") - (COUNTIF(J17:J122,"") - COUNTA(#REF!)))-COUNTA(J17:J122)&lt;0,0,(COUNTIF(J17:J122,"") - (COUNTIF(J17:J122,"") - COUNTA(#REF!)))-COUNTA(J17:J122)),0)</f>
        <v>0</v>
      </c>
      <c r="K8" s="145">
        <f>IFERROR(IF((COUNTIF(K17:K122,"") - (COUNTIF(K17:K122,"") - COUNTA(#REF!)))-COUNTA(K17:K122)&lt;0,0,(COUNTIF(K17:K122,"") - (COUNTIF(K17:K122,"") - COUNTA(#REF!)))-COUNTA(K17:K122)),0)</f>
        <v>0</v>
      </c>
      <c r="L8" s="109"/>
      <c r="M8" s="109"/>
      <c r="N8" s="109"/>
      <c r="O8" s="96"/>
    </row>
    <row r="9" spans="1:30" s="85" customFormat="1" x14ac:dyDescent="0.25">
      <c r="A9" s="88"/>
      <c r="B9" s="95" t="s">
        <v>167</v>
      </c>
      <c r="C9" s="90"/>
      <c r="D9" s="109"/>
      <c r="E9" s="109"/>
      <c r="F9" s="145">
        <f>IFERROR(SUM(#REF!),0)</f>
        <v>0</v>
      </c>
      <c r="G9" s="145">
        <f>IFERROR(SUM(#REF!),0)</f>
        <v>0</v>
      </c>
      <c r="H9" s="145">
        <f>IFERROR(SUM(#REF!),0)</f>
        <v>0</v>
      </c>
      <c r="I9" s="145">
        <f>IFERROR(SUM(#REF!),0)</f>
        <v>0</v>
      </c>
      <c r="J9" s="145">
        <f>IFERROR(SUM(#REF!),0)</f>
        <v>0</v>
      </c>
      <c r="K9" s="145">
        <f>IFERROR(SUM(#REF!),0)</f>
        <v>0</v>
      </c>
      <c r="L9" s="109"/>
      <c r="M9" s="109"/>
      <c r="N9" s="109"/>
      <c r="O9" s="96"/>
    </row>
    <row r="10" spans="1:30" x14ac:dyDescent="0.25">
      <c r="A10" s="88"/>
      <c r="B10" s="95" t="s">
        <v>168</v>
      </c>
      <c r="C10" s="90"/>
      <c r="D10" s="109"/>
      <c r="E10" s="109"/>
      <c r="F10" s="145">
        <f t="shared" ref="F10:K10" si="4">IFERROR(F6/(F6+F7)*100,0)</f>
        <v>16.326530612244898</v>
      </c>
      <c r="G10" s="145">
        <f t="shared" si="4"/>
        <v>0</v>
      </c>
      <c r="H10" s="145">
        <f t="shared" si="4"/>
        <v>0</v>
      </c>
      <c r="I10" s="145">
        <f t="shared" si="4"/>
        <v>0</v>
      </c>
      <c r="J10" s="145">
        <f t="shared" si="4"/>
        <v>0</v>
      </c>
      <c r="K10" s="145">
        <f t="shared" si="4"/>
        <v>0</v>
      </c>
      <c r="L10" s="109"/>
      <c r="M10" s="109"/>
      <c r="N10" s="109"/>
      <c r="O10" s="96"/>
    </row>
    <row r="11" spans="1:30" x14ac:dyDescent="0.25">
      <c r="A11" s="88"/>
      <c r="B11" s="95" t="s">
        <v>169</v>
      </c>
      <c r="C11" s="90"/>
      <c r="D11" s="109"/>
      <c r="E11" s="109"/>
      <c r="F11" s="145">
        <f t="shared" ref="F11:H11" si="5">IFERROR(F7/(F6+F7)*100,0)</f>
        <v>83.673469387755105</v>
      </c>
      <c r="G11" s="145">
        <f t="shared" si="5"/>
        <v>100</v>
      </c>
      <c r="H11" s="145">
        <f t="shared" si="5"/>
        <v>100</v>
      </c>
      <c r="I11" s="145">
        <f t="shared" ref="I11:K11" si="6">IFERROR(I7/(I6+I7)*100,0)</f>
        <v>100</v>
      </c>
      <c r="J11" s="145">
        <f t="shared" si="6"/>
        <v>100</v>
      </c>
      <c r="K11" s="145">
        <f t="shared" si="6"/>
        <v>100</v>
      </c>
      <c r="L11" s="109"/>
      <c r="M11" s="109"/>
      <c r="N11" s="109"/>
      <c r="O11" s="96"/>
    </row>
    <row r="12" spans="1:30" ht="15.75" thickBot="1" x14ac:dyDescent="0.3">
      <c r="A12" s="88"/>
      <c r="B12" s="97" t="s">
        <v>170</v>
      </c>
      <c r="C12" s="98"/>
      <c r="D12" s="99"/>
      <c r="E12" s="99"/>
      <c r="F12" s="149">
        <f t="shared" ref="F12:H12" si="7">IFERROR(AVERAGE(F17:F122),0)</f>
        <v>252.08163265306123</v>
      </c>
      <c r="G12" s="149">
        <f t="shared" si="7"/>
        <v>52.4</v>
      </c>
      <c r="H12" s="149">
        <f t="shared" si="7"/>
        <v>3.306122448979592</v>
      </c>
      <c r="I12" s="149">
        <f t="shared" ref="I12:K12" si="8">IFERROR(AVERAGE(I17:I122),0)</f>
        <v>3.306122448979592</v>
      </c>
      <c r="J12" s="149">
        <f t="shared" si="8"/>
        <v>3.306122448979592</v>
      </c>
      <c r="K12" s="149">
        <f t="shared" si="8"/>
        <v>3.306122448979592</v>
      </c>
      <c r="L12" s="99"/>
      <c r="M12" s="99"/>
      <c r="N12" s="99"/>
      <c r="O12" s="100"/>
    </row>
    <row r="13" spans="1:30" ht="15.75" thickBot="1" x14ac:dyDescent="0.3">
      <c r="A13" s="88"/>
      <c r="C13" s="89"/>
      <c r="D13" s="89"/>
      <c r="E13" s="89"/>
    </row>
    <row r="14" spans="1:30" ht="73.5" thickBot="1" x14ac:dyDescent="0.75">
      <c r="A14" s="121"/>
      <c r="B14" s="122" t="s">
        <v>157</v>
      </c>
      <c r="C14" s="123"/>
      <c r="D14" s="258" t="s">
        <v>218</v>
      </c>
      <c r="E14" s="244" t="s">
        <v>221</v>
      </c>
      <c r="F14" s="114" t="s">
        <v>30</v>
      </c>
      <c r="G14" s="114" t="s">
        <v>31</v>
      </c>
      <c r="H14" s="114" t="s">
        <v>32</v>
      </c>
      <c r="I14" s="114" t="s">
        <v>33</v>
      </c>
      <c r="J14" s="114" t="s">
        <v>34</v>
      </c>
      <c r="K14" s="114" t="s">
        <v>35</v>
      </c>
      <c r="L14" s="112" t="s">
        <v>158</v>
      </c>
      <c r="M14" s="112" t="s">
        <v>159</v>
      </c>
      <c r="N14" s="114" t="s">
        <v>160</v>
      </c>
      <c r="O14" s="138" t="s">
        <v>193</v>
      </c>
      <c r="AC14" s="53" t="s">
        <v>236</v>
      </c>
      <c r="AD14" t="s">
        <v>193</v>
      </c>
    </row>
    <row r="15" spans="1:30" ht="16.5" thickBot="1" x14ac:dyDescent="0.3">
      <c r="A15" s="124"/>
      <c r="B15" s="125" t="s">
        <v>173</v>
      </c>
      <c r="C15" s="126"/>
      <c r="D15" s="108"/>
      <c r="E15" s="108"/>
      <c r="F15" s="247">
        <f>'P1'!Z15</f>
        <v>530</v>
      </c>
      <c r="G15" s="247">
        <f>'P2'!Z15</f>
        <v>530</v>
      </c>
      <c r="H15" s="247">
        <f>EXAM1!Z15</f>
        <v>1060</v>
      </c>
      <c r="I15" s="247">
        <f>'P3'!Z15</f>
        <v>530</v>
      </c>
      <c r="J15" s="247">
        <f>'P4'!Z15</f>
        <v>530</v>
      </c>
      <c r="K15" s="247">
        <f>EXAM2!Z15</f>
        <v>1060</v>
      </c>
      <c r="L15" s="314">
        <f>SUM(F15:K15)</f>
        <v>4240</v>
      </c>
      <c r="M15" s="303"/>
      <c r="N15" s="248"/>
      <c r="O15" s="249"/>
      <c r="AC15" s="51"/>
    </row>
    <row r="16" spans="1:30" ht="15.75" thickBot="1" x14ac:dyDescent="0.3">
      <c r="A16" s="304" t="s">
        <v>172</v>
      </c>
      <c r="B16" s="304" t="s">
        <v>161</v>
      </c>
      <c r="C16" s="304" t="s">
        <v>162</v>
      </c>
      <c r="D16" s="305" t="s">
        <v>163</v>
      </c>
      <c r="E16" s="306"/>
      <c r="F16" s="307">
        <v>1</v>
      </c>
      <c r="G16" s="307">
        <v>2</v>
      </c>
      <c r="H16" s="307">
        <v>3</v>
      </c>
      <c r="I16" s="313">
        <v>4</v>
      </c>
      <c r="J16" s="313">
        <v>5</v>
      </c>
      <c r="K16" s="313">
        <v>6</v>
      </c>
      <c r="L16" s="311"/>
      <c r="M16" s="308"/>
      <c r="N16" s="309"/>
      <c r="O16" s="310"/>
      <c r="AC16" s="51"/>
    </row>
    <row r="17" spans="1:29" x14ac:dyDescent="0.25">
      <c r="A17" s="152" t="s">
        <v>142</v>
      </c>
      <c r="B17" s="51" t="s">
        <v>48</v>
      </c>
      <c r="C17" s="51" t="s">
        <v>255</v>
      </c>
      <c r="E17" s="53" t="s">
        <v>144</v>
      </c>
      <c r="F17" s="127">
        <v>0</v>
      </c>
      <c r="G17" s="127">
        <v>0</v>
      </c>
      <c r="H17" s="127">
        <v>0</v>
      </c>
      <c r="I17" s="111">
        <v>0</v>
      </c>
      <c r="J17" s="111">
        <v>0</v>
      </c>
      <c r="K17" s="111">
        <v>0</v>
      </c>
      <c r="L17" s="312">
        <f>SUM(F17:K17)</f>
        <v>0</v>
      </c>
      <c r="M17" s="298">
        <f>(L17/$L$15)*100</f>
        <v>0</v>
      </c>
      <c r="N17" s="301" t="str">
        <f>RANK(M17,M$17:M$122,0) &amp;"/"&amp; COUNTA($B$17:$B$122)</f>
        <v>43/49</v>
      </c>
      <c r="O17" s="139" t="str">
        <f>IF(M17&gt;=DashBoard!$O$11,"Pass","Echoue")</f>
        <v>Echoue</v>
      </c>
      <c r="AC17" s="338" t="str">
        <f>IF(AA17&gt;60,"TB","B")</f>
        <v>B</v>
      </c>
    </row>
    <row r="18" spans="1:29" x14ac:dyDescent="0.25">
      <c r="A18" s="153" t="s">
        <v>47</v>
      </c>
      <c r="B18" s="8" t="s">
        <v>50</v>
      </c>
      <c r="C18" s="8" t="s">
        <v>149</v>
      </c>
      <c r="D18" s="23"/>
      <c r="E18" s="51" t="s">
        <v>144</v>
      </c>
      <c r="F18" s="111">
        <v>0</v>
      </c>
      <c r="G18" s="111">
        <v>0</v>
      </c>
      <c r="H18" s="111">
        <v>0</v>
      </c>
      <c r="I18" s="111">
        <v>0</v>
      </c>
      <c r="J18" s="111">
        <v>0</v>
      </c>
      <c r="K18" s="111">
        <v>0</v>
      </c>
      <c r="L18" s="312">
        <f t="shared" ref="L18:L81" si="9">SUM(F18:K18)</f>
        <v>0</v>
      </c>
      <c r="M18" s="298">
        <f t="shared" ref="M18:M81" si="10">(L18/$L$15)*100</f>
        <v>0</v>
      </c>
      <c r="N18" s="301" t="str">
        <f t="shared" ref="N18:N81" si="11">RANK(M18,M$17:M$122,0) &amp;"/"&amp; COUNTA($B$17:$B$122)</f>
        <v>43/49</v>
      </c>
      <c r="O18" s="139" t="str">
        <f>IF(M18&gt;=DashBoard!$O$11,"Pass","Echoue")</f>
        <v>Echoue</v>
      </c>
      <c r="AC18" s="338" t="str">
        <f t="shared" ref="AC18:AC81" si="12">IF(AA18&gt;60,"TB","B")</f>
        <v>B</v>
      </c>
    </row>
    <row r="19" spans="1:29" x14ac:dyDescent="0.25">
      <c r="A19" s="153" t="s">
        <v>49</v>
      </c>
      <c r="B19" s="8" t="s">
        <v>52</v>
      </c>
      <c r="C19" s="8" t="s">
        <v>149</v>
      </c>
      <c r="D19" s="23"/>
      <c r="E19" s="51" t="s">
        <v>144</v>
      </c>
      <c r="F19" s="111">
        <v>0</v>
      </c>
      <c r="G19" s="111">
        <v>0</v>
      </c>
      <c r="H19" s="111">
        <v>0</v>
      </c>
      <c r="I19" s="111">
        <v>0</v>
      </c>
      <c r="J19" s="111">
        <v>0</v>
      </c>
      <c r="K19" s="111">
        <v>0</v>
      </c>
      <c r="L19" s="312">
        <f t="shared" si="9"/>
        <v>0</v>
      </c>
      <c r="M19" s="298">
        <f t="shared" si="10"/>
        <v>0</v>
      </c>
      <c r="N19" s="301" t="str">
        <f t="shared" si="11"/>
        <v>43/49</v>
      </c>
      <c r="O19" s="139" t="str">
        <f>IF(M19&gt;=DashBoard!$O$11,"Pass","Echoue")</f>
        <v>Echoue</v>
      </c>
      <c r="AC19" s="338" t="str">
        <f t="shared" si="12"/>
        <v>B</v>
      </c>
    </row>
    <row r="20" spans="1:29" x14ac:dyDescent="0.25">
      <c r="A20" s="153" t="s">
        <v>51</v>
      </c>
      <c r="B20" s="8" t="s">
        <v>54</v>
      </c>
      <c r="C20" s="8" t="s">
        <v>149</v>
      </c>
      <c r="D20" s="23"/>
      <c r="E20" s="51" t="s">
        <v>144</v>
      </c>
      <c r="F20" s="111">
        <v>0</v>
      </c>
      <c r="G20" s="111">
        <v>0</v>
      </c>
      <c r="H20" s="111">
        <v>0</v>
      </c>
      <c r="I20" s="111">
        <v>0</v>
      </c>
      <c r="J20" s="111">
        <v>0</v>
      </c>
      <c r="K20" s="111">
        <v>0</v>
      </c>
      <c r="L20" s="312">
        <f t="shared" si="9"/>
        <v>0</v>
      </c>
      <c r="M20" s="298">
        <f t="shared" si="10"/>
        <v>0</v>
      </c>
      <c r="N20" s="301" t="str">
        <f t="shared" si="11"/>
        <v>43/49</v>
      </c>
      <c r="O20" s="139" t="str">
        <f>IF(M20&gt;=DashBoard!$O$11,"Pass","Echoue")</f>
        <v>Echoue</v>
      </c>
      <c r="AC20" s="338" t="str">
        <f t="shared" si="12"/>
        <v>B</v>
      </c>
    </row>
    <row r="21" spans="1:29" x14ac:dyDescent="0.25">
      <c r="A21" s="153" t="s">
        <v>53</v>
      </c>
      <c r="B21" s="8" t="s">
        <v>56</v>
      </c>
      <c r="C21" s="8" t="s">
        <v>255</v>
      </c>
      <c r="D21" s="23"/>
      <c r="E21" s="51" t="s">
        <v>260</v>
      </c>
      <c r="F21" s="111">
        <v>170</v>
      </c>
      <c r="G21" s="111">
        <v>85</v>
      </c>
      <c r="H21" s="111">
        <v>8</v>
      </c>
      <c r="I21" s="111">
        <v>8</v>
      </c>
      <c r="J21" s="111">
        <v>8</v>
      </c>
      <c r="K21" s="111">
        <v>8</v>
      </c>
      <c r="L21" s="312">
        <f t="shared" si="9"/>
        <v>287</v>
      </c>
      <c r="M21" s="298">
        <f t="shared" si="10"/>
        <v>6.7688679245283021</v>
      </c>
      <c r="N21" s="301" t="str">
        <f t="shared" si="11"/>
        <v>12/49</v>
      </c>
      <c r="O21" s="139" t="str">
        <f>IF(M21&gt;=DashBoard!$O$11,"Pass","Echoue")</f>
        <v>Echoue</v>
      </c>
      <c r="AC21" s="338" t="str">
        <f t="shared" si="12"/>
        <v>B</v>
      </c>
    </row>
    <row r="22" spans="1:29" x14ac:dyDescent="0.25">
      <c r="A22" s="153" t="s">
        <v>55</v>
      </c>
      <c r="B22" s="8" t="s">
        <v>58</v>
      </c>
      <c r="C22" s="8" t="s">
        <v>255</v>
      </c>
      <c r="D22" s="23"/>
      <c r="E22" s="51" t="s">
        <v>260</v>
      </c>
      <c r="F22" s="111">
        <v>68</v>
      </c>
      <c r="G22" s="111">
        <v>64</v>
      </c>
      <c r="H22" s="111">
        <v>2</v>
      </c>
      <c r="I22" s="111">
        <v>2</v>
      </c>
      <c r="J22" s="111">
        <v>2</v>
      </c>
      <c r="K22" s="111">
        <v>2</v>
      </c>
      <c r="L22" s="312">
        <f t="shared" si="9"/>
        <v>140</v>
      </c>
      <c r="M22" s="298">
        <f t="shared" si="10"/>
        <v>3.3018867924528301</v>
      </c>
      <c r="N22" s="301" t="str">
        <f t="shared" si="11"/>
        <v>30/49</v>
      </c>
      <c r="O22" s="139" t="str">
        <f>IF(M22&gt;=DashBoard!$O$11,"Pass","Echoue")</f>
        <v>Echoue</v>
      </c>
      <c r="AC22" s="338" t="str">
        <f t="shared" si="12"/>
        <v>B</v>
      </c>
    </row>
    <row r="23" spans="1:29" x14ac:dyDescent="0.25">
      <c r="A23" s="153" t="s">
        <v>57</v>
      </c>
      <c r="B23" s="8" t="s">
        <v>60</v>
      </c>
      <c r="C23" s="8" t="s">
        <v>255</v>
      </c>
      <c r="D23" s="23"/>
      <c r="E23" s="51" t="s">
        <v>260</v>
      </c>
      <c r="F23" s="111">
        <v>204</v>
      </c>
      <c r="G23" s="111">
        <v>67</v>
      </c>
      <c r="H23" s="111">
        <v>2</v>
      </c>
      <c r="I23" s="111">
        <v>2</v>
      </c>
      <c r="J23" s="111">
        <v>2</v>
      </c>
      <c r="K23" s="111">
        <v>2</v>
      </c>
      <c r="L23" s="312">
        <f t="shared" si="9"/>
        <v>279</v>
      </c>
      <c r="M23" s="298">
        <f t="shared" si="10"/>
        <v>6.5801886792452828</v>
      </c>
      <c r="N23" s="301" t="str">
        <f t="shared" si="11"/>
        <v>13/49</v>
      </c>
      <c r="O23" s="139" t="str">
        <f>IF(M23&gt;=DashBoard!$O$11,"Pass","Echoue")</f>
        <v>Echoue</v>
      </c>
      <c r="AC23" s="338" t="str">
        <f t="shared" si="12"/>
        <v>B</v>
      </c>
    </row>
    <row r="24" spans="1:29" x14ac:dyDescent="0.25">
      <c r="A24" s="153" t="s">
        <v>59</v>
      </c>
      <c r="B24" s="8" t="s">
        <v>62</v>
      </c>
      <c r="C24" s="8" t="s">
        <v>255</v>
      </c>
      <c r="D24" s="23"/>
      <c r="E24" s="51" t="s">
        <v>260</v>
      </c>
      <c r="F24" s="111">
        <v>323</v>
      </c>
      <c r="G24" s="111">
        <v>64</v>
      </c>
      <c r="H24" s="111">
        <v>5</v>
      </c>
      <c r="I24" s="111">
        <v>5</v>
      </c>
      <c r="J24" s="111">
        <v>5</v>
      </c>
      <c r="K24" s="111">
        <v>5</v>
      </c>
      <c r="L24" s="312">
        <f t="shared" si="9"/>
        <v>407</v>
      </c>
      <c r="M24" s="298">
        <f t="shared" si="10"/>
        <v>9.5990566037735849</v>
      </c>
      <c r="N24" s="301" t="str">
        <f t="shared" si="11"/>
        <v>4/49</v>
      </c>
      <c r="O24" s="139" t="str">
        <f>IF(M24&gt;=DashBoard!$O$11,"Pass","Echoue")</f>
        <v>Echoue</v>
      </c>
      <c r="AC24" s="338" t="str">
        <f t="shared" si="12"/>
        <v>B</v>
      </c>
    </row>
    <row r="25" spans="1:29" x14ac:dyDescent="0.25">
      <c r="A25" s="153" t="s">
        <v>61</v>
      </c>
      <c r="B25" s="8" t="s">
        <v>64</v>
      </c>
      <c r="C25" s="8" t="s">
        <v>255</v>
      </c>
      <c r="D25" s="23"/>
      <c r="E25" s="51" t="s">
        <v>144</v>
      </c>
      <c r="F25" s="111">
        <v>0</v>
      </c>
      <c r="G25" s="111">
        <v>0</v>
      </c>
      <c r="H25" s="111">
        <v>0</v>
      </c>
      <c r="I25" s="111">
        <v>0</v>
      </c>
      <c r="J25" s="111">
        <v>0</v>
      </c>
      <c r="K25" s="111">
        <v>0</v>
      </c>
      <c r="L25" s="312">
        <f t="shared" si="9"/>
        <v>0</v>
      </c>
      <c r="M25" s="298">
        <f t="shared" si="10"/>
        <v>0</v>
      </c>
      <c r="N25" s="301" t="str">
        <f t="shared" si="11"/>
        <v>43/49</v>
      </c>
      <c r="O25" s="139" t="str">
        <f>IF(M25&gt;=DashBoard!$O$11,"Pass","Echoue")</f>
        <v>Echoue</v>
      </c>
      <c r="AC25" s="338" t="str">
        <f t="shared" si="12"/>
        <v>B</v>
      </c>
    </row>
    <row r="26" spans="1:29" x14ac:dyDescent="0.25">
      <c r="A26" s="153" t="s">
        <v>63</v>
      </c>
      <c r="B26" s="8" t="s">
        <v>66</v>
      </c>
      <c r="C26" s="8" t="s">
        <v>255</v>
      </c>
      <c r="D26" s="23"/>
      <c r="E26" s="51" t="s">
        <v>260</v>
      </c>
      <c r="F26" s="111">
        <v>255</v>
      </c>
      <c r="G26" s="111">
        <v>79</v>
      </c>
      <c r="H26" s="111">
        <v>5</v>
      </c>
      <c r="I26" s="111">
        <v>5</v>
      </c>
      <c r="J26" s="111">
        <v>5</v>
      </c>
      <c r="K26" s="111">
        <v>5</v>
      </c>
      <c r="L26" s="312">
        <f t="shared" si="9"/>
        <v>354</v>
      </c>
      <c r="M26" s="298">
        <f t="shared" si="10"/>
        <v>8.3490566037735849</v>
      </c>
      <c r="N26" s="301" t="str">
        <f t="shared" si="11"/>
        <v>9/49</v>
      </c>
      <c r="O26" s="139" t="str">
        <f>IF(M26&gt;=DashBoard!$O$11,"Pass","Echoue")</f>
        <v>Echoue</v>
      </c>
      <c r="AC26" s="338" t="str">
        <f t="shared" si="12"/>
        <v>B</v>
      </c>
    </row>
    <row r="27" spans="1:29" x14ac:dyDescent="0.25">
      <c r="A27" s="153" t="s">
        <v>65</v>
      </c>
      <c r="B27" s="8" t="s">
        <v>68</v>
      </c>
      <c r="C27" s="8" t="s">
        <v>255</v>
      </c>
      <c r="D27" s="23"/>
      <c r="E27" s="51" t="s">
        <v>260</v>
      </c>
      <c r="F27" s="111">
        <v>51</v>
      </c>
      <c r="G27" s="111">
        <v>75</v>
      </c>
      <c r="H27" s="111">
        <v>1</v>
      </c>
      <c r="I27" s="111">
        <v>1</v>
      </c>
      <c r="J27" s="111">
        <v>1</v>
      </c>
      <c r="K27" s="111">
        <v>1</v>
      </c>
      <c r="L27" s="312">
        <f t="shared" si="9"/>
        <v>130</v>
      </c>
      <c r="M27" s="298">
        <f t="shared" si="10"/>
        <v>3.0660377358490565</v>
      </c>
      <c r="N27" s="301" t="str">
        <f t="shared" si="11"/>
        <v>31/49</v>
      </c>
      <c r="O27" s="139" t="str">
        <f>IF(M27&gt;=DashBoard!$O$11,"Pass","Echoue")</f>
        <v>Echoue</v>
      </c>
      <c r="AC27" s="338" t="str">
        <f t="shared" si="12"/>
        <v>B</v>
      </c>
    </row>
    <row r="28" spans="1:29" x14ac:dyDescent="0.25">
      <c r="A28" s="153" t="s">
        <v>67</v>
      </c>
      <c r="B28" s="8" t="s">
        <v>70</v>
      </c>
      <c r="C28" s="8" t="s">
        <v>255</v>
      </c>
      <c r="D28" s="23"/>
      <c r="E28" s="51" t="s">
        <v>144</v>
      </c>
      <c r="F28" s="111">
        <v>0</v>
      </c>
      <c r="G28" s="111">
        <v>0</v>
      </c>
      <c r="H28" s="111">
        <v>0</v>
      </c>
      <c r="I28" s="111">
        <v>0</v>
      </c>
      <c r="J28" s="111">
        <v>0</v>
      </c>
      <c r="K28" s="111">
        <v>0</v>
      </c>
      <c r="L28" s="312">
        <f t="shared" si="9"/>
        <v>0</v>
      </c>
      <c r="M28" s="298">
        <f t="shared" si="10"/>
        <v>0</v>
      </c>
      <c r="N28" s="301" t="str">
        <f t="shared" si="11"/>
        <v>43/49</v>
      </c>
      <c r="O28" s="139" t="str">
        <f>IF(M28&gt;=DashBoard!$O$11,"Pass","Echoue")</f>
        <v>Echoue</v>
      </c>
      <c r="AC28" s="338" t="str">
        <f t="shared" si="12"/>
        <v>B</v>
      </c>
    </row>
    <row r="29" spans="1:29" x14ac:dyDescent="0.25">
      <c r="A29" s="153" t="s">
        <v>69</v>
      </c>
      <c r="B29" s="8" t="s">
        <v>72</v>
      </c>
      <c r="C29" s="8" t="s">
        <v>255</v>
      </c>
      <c r="D29" s="23"/>
      <c r="E29" s="51" t="s">
        <v>260</v>
      </c>
      <c r="F29" s="111">
        <v>102</v>
      </c>
      <c r="G29" s="111">
        <v>71</v>
      </c>
      <c r="H29" s="111">
        <v>5</v>
      </c>
      <c r="I29" s="111">
        <v>5</v>
      </c>
      <c r="J29" s="111">
        <v>5</v>
      </c>
      <c r="K29" s="111">
        <v>5</v>
      </c>
      <c r="L29" s="312">
        <f t="shared" si="9"/>
        <v>193</v>
      </c>
      <c r="M29" s="298">
        <f t="shared" si="10"/>
        <v>4.5518867924528301</v>
      </c>
      <c r="N29" s="301" t="str">
        <f t="shared" si="11"/>
        <v>20/49</v>
      </c>
      <c r="O29" s="139" t="str">
        <f>IF(M29&gt;=DashBoard!$O$11,"Pass","Echoue")</f>
        <v>Echoue</v>
      </c>
      <c r="AC29" s="338" t="str">
        <f t="shared" si="12"/>
        <v>B</v>
      </c>
    </row>
    <row r="30" spans="1:29" x14ac:dyDescent="0.25">
      <c r="A30" s="153" t="s">
        <v>71</v>
      </c>
      <c r="B30" s="8" t="s">
        <v>74</v>
      </c>
      <c r="C30" s="8" t="s">
        <v>149</v>
      </c>
      <c r="D30" s="23"/>
      <c r="E30" s="51" t="s">
        <v>260</v>
      </c>
      <c r="F30" s="111">
        <v>6402</v>
      </c>
      <c r="G30" s="111">
        <v>64</v>
      </c>
      <c r="H30" s="111">
        <v>5</v>
      </c>
      <c r="I30" s="111">
        <v>5</v>
      </c>
      <c r="J30" s="111">
        <v>5</v>
      </c>
      <c r="K30" s="111">
        <v>5</v>
      </c>
      <c r="L30" s="312">
        <f t="shared" si="9"/>
        <v>6486</v>
      </c>
      <c r="M30" s="298">
        <f t="shared" si="10"/>
        <v>152.97169811320754</v>
      </c>
      <c r="N30" s="301" t="str">
        <f t="shared" si="11"/>
        <v>1/49</v>
      </c>
      <c r="O30" s="139" t="str">
        <f>IF(M30&gt;=DashBoard!$O$11,"Pass","Echoue")</f>
        <v>Pass</v>
      </c>
      <c r="AC30" s="338" t="str">
        <f t="shared" si="12"/>
        <v>B</v>
      </c>
    </row>
    <row r="31" spans="1:29" x14ac:dyDescent="0.25">
      <c r="A31" s="153" t="s">
        <v>73</v>
      </c>
      <c r="B31" s="8" t="s">
        <v>76</v>
      </c>
      <c r="C31" s="8" t="s">
        <v>149</v>
      </c>
      <c r="D31" s="23"/>
      <c r="E31" s="51" t="s">
        <v>260</v>
      </c>
      <c r="F31" s="111">
        <v>34</v>
      </c>
      <c r="G31" s="111">
        <v>60</v>
      </c>
      <c r="H31" s="111">
        <v>1</v>
      </c>
      <c r="I31" s="111">
        <v>1</v>
      </c>
      <c r="J31" s="111">
        <v>1</v>
      </c>
      <c r="K31" s="111">
        <v>1</v>
      </c>
      <c r="L31" s="312">
        <f t="shared" si="9"/>
        <v>98</v>
      </c>
      <c r="M31" s="298">
        <f t="shared" si="10"/>
        <v>2.3113207547169812</v>
      </c>
      <c r="N31" s="301" t="str">
        <f t="shared" si="11"/>
        <v>36/49</v>
      </c>
      <c r="O31" s="139" t="str">
        <f>IF(M31&gt;=DashBoard!$O$11,"Pass","Echoue")</f>
        <v>Echoue</v>
      </c>
      <c r="AC31" s="338" t="str">
        <f t="shared" si="12"/>
        <v>B</v>
      </c>
    </row>
    <row r="32" spans="1:29" x14ac:dyDescent="0.25">
      <c r="A32" s="153" t="s">
        <v>75</v>
      </c>
      <c r="B32" s="8" t="s">
        <v>78</v>
      </c>
      <c r="C32" s="8" t="s">
        <v>255</v>
      </c>
      <c r="D32" s="23"/>
      <c r="E32" s="51" t="s">
        <v>260</v>
      </c>
      <c r="F32" s="111">
        <v>476</v>
      </c>
      <c r="G32" s="111">
        <v>59</v>
      </c>
      <c r="H32" s="111">
        <v>9</v>
      </c>
      <c r="I32" s="111">
        <v>9</v>
      </c>
      <c r="J32" s="111">
        <v>9</v>
      </c>
      <c r="K32" s="111">
        <v>9</v>
      </c>
      <c r="L32" s="312">
        <f t="shared" si="9"/>
        <v>571</v>
      </c>
      <c r="M32" s="298">
        <f t="shared" si="10"/>
        <v>13.466981132075473</v>
      </c>
      <c r="N32" s="301" t="str">
        <f t="shared" si="11"/>
        <v>2/49</v>
      </c>
      <c r="O32" s="139" t="str">
        <f>IF(M32&gt;=DashBoard!$O$11,"Pass","Echoue")</f>
        <v>Echoue</v>
      </c>
      <c r="AC32" s="338" t="str">
        <f t="shared" si="12"/>
        <v>B</v>
      </c>
    </row>
    <row r="33" spans="1:29" x14ac:dyDescent="0.25">
      <c r="A33" s="153" t="s">
        <v>77</v>
      </c>
      <c r="B33" s="8" t="s">
        <v>80</v>
      </c>
      <c r="C33" s="8" t="s">
        <v>255</v>
      </c>
      <c r="D33" s="23"/>
      <c r="E33" s="51" t="s">
        <v>260</v>
      </c>
      <c r="F33" s="111">
        <v>102</v>
      </c>
      <c r="G33" s="111">
        <v>50</v>
      </c>
      <c r="H33" s="111">
        <v>5</v>
      </c>
      <c r="I33" s="111">
        <v>5</v>
      </c>
      <c r="J33" s="111">
        <v>5</v>
      </c>
      <c r="K33" s="111">
        <v>5</v>
      </c>
      <c r="L33" s="312">
        <f t="shared" si="9"/>
        <v>172</v>
      </c>
      <c r="M33" s="298">
        <f t="shared" si="10"/>
        <v>4.0566037735849054</v>
      </c>
      <c r="N33" s="301" t="str">
        <f t="shared" si="11"/>
        <v>28/49</v>
      </c>
      <c r="O33" s="139" t="str">
        <f>IF(M33&gt;=DashBoard!$O$11,"Pass","Echoue")</f>
        <v>Echoue</v>
      </c>
      <c r="AC33" s="338" t="str">
        <f t="shared" si="12"/>
        <v>B</v>
      </c>
    </row>
    <row r="34" spans="1:29" x14ac:dyDescent="0.25">
      <c r="A34" s="153" t="s">
        <v>79</v>
      </c>
      <c r="B34" s="8" t="s">
        <v>82</v>
      </c>
      <c r="C34" s="8" t="s">
        <v>255</v>
      </c>
      <c r="D34" s="23"/>
      <c r="E34" s="51" t="s">
        <v>144</v>
      </c>
      <c r="F34" s="111">
        <v>0</v>
      </c>
      <c r="G34" s="111">
        <v>0</v>
      </c>
      <c r="H34" s="111">
        <v>0</v>
      </c>
      <c r="I34" s="111">
        <v>0</v>
      </c>
      <c r="J34" s="111">
        <v>0</v>
      </c>
      <c r="K34" s="111">
        <v>0</v>
      </c>
      <c r="L34" s="312">
        <f t="shared" si="9"/>
        <v>0</v>
      </c>
      <c r="M34" s="298">
        <f t="shared" si="10"/>
        <v>0</v>
      </c>
      <c r="N34" s="301" t="str">
        <f t="shared" si="11"/>
        <v>43/49</v>
      </c>
      <c r="O34" s="139" t="str">
        <f>IF(M34&gt;=DashBoard!$O$11,"Pass","Echoue")</f>
        <v>Echoue</v>
      </c>
      <c r="AC34" s="338" t="str">
        <f t="shared" si="12"/>
        <v>B</v>
      </c>
    </row>
    <row r="35" spans="1:29" x14ac:dyDescent="0.25">
      <c r="A35" s="153" t="s">
        <v>81</v>
      </c>
      <c r="B35" s="8" t="s">
        <v>84</v>
      </c>
      <c r="C35" s="8" t="s">
        <v>149</v>
      </c>
      <c r="D35" s="23"/>
      <c r="E35" s="51" t="s">
        <v>260</v>
      </c>
      <c r="F35" s="111">
        <v>34</v>
      </c>
      <c r="G35" s="111">
        <v>55</v>
      </c>
      <c r="H35" s="111">
        <v>1</v>
      </c>
      <c r="I35" s="111">
        <v>1</v>
      </c>
      <c r="J35" s="111">
        <v>1</v>
      </c>
      <c r="K35" s="111">
        <v>1</v>
      </c>
      <c r="L35" s="312">
        <f t="shared" si="9"/>
        <v>93</v>
      </c>
      <c r="M35" s="298">
        <f t="shared" si="10"/>
        <v>2.1933962264150941</v>
      </c>
      <c r="N35" s="301" t="str">
        <f t="shared" si="11"/>
        <v>37/49</v>
      </c>
      <c r="O35" s="139" t="str">
        <f>IF(M35&gt;=DashBoard!$O$11,"Pass","Echoue")</f>
        <v>Echoue</v>
      </c>
      <c r="AC35" s="338" t="str">
        <f t="shared" si="12"/>
        <v>B</v>
      </c>
    </row>
    <row r="36" spans="1:29" x14ac:dyDescent="0.25">
      <c r="A36" s="153" t="s">
        <v>83</v>
      </c>
      <c r="B36" s="8" t="s">
        <v>86</v>
      </c>
      <c r="C36" s="8" t="s">
        <v>149</v>
      </c>
      <c r="D36" s="23"/>
      <c r="E36" s="51" t="s">
        <v>260</v>
      </c>
      <c r="F36" s="111">
        <v>306</v>
      </c>
      <c r="G36" s="111">
        <v>62</v>
      </c>
      <c r="H36" s="111">
        <v>8</v>
      </c>
      <c r="I36" s="111">
        <v>8</v>
      </c>
      <c r="J36" s="111">
        <v>8</v>
      </c>
      <c r="K36" s="111">
        <v>8</v>
      </c>
      <c r="L36" s="312">
        <f t="shared" si="9"/>
        <v>400</v>
      </c>
      <c r="M36" s="298">
        <f t="shared" si="10"/>
        <v>9.433962264150944</v>
      </c>
      <c r="N36" s="301" t="str">
        <f t="shared" si="11"/>
        <v>5/49</v>
      </c>
      <c r="O36" s="139" t="str">
        <f>IF(M36&gt;=DashBoard!$O$11,"Pass","Echoue")</f>
        <v>Echoue</v>
      </c>
      <c r="AC36" s="338" t="str">
        <f t="shared" si="12"/>
        <v>B</v>
      </c>
    </row>
    <row r="37" spans="1:29" x14ac:dyDescent="0.25">
      <c r="A37" s="153" t="s">
        <v>85</v>
      </c>
      <c r="B37" s="8" t="s">
        <v>88</v>
      </c>
      <c r="C37" s="8" t="s">
        <v>149</v>
      </c>
      <c r="D37" s="23"/>
      <c r="E37" s="51" t="s">
        <v>260</v>
      </c>
      <c r="F37" s="111">
        <v>34</v>
      </c>
      <c r="G37" s="111">
        <v>54</v>
      </c>
      <c r="H37" s="111">
        <v>1</v>
      </c>
      <c r="I37" s="111">
        <v>1</v>
      </c>
      <c r="J37" s="111">
        <v>1</v>
      </c>
      <c r="K37" s="111">
        <v>1</v>
      </c>
      <c r="L37" s="312">
        <f t="shared" si="9"/>
        <v>92</v>
      </c>
      <c r="M37" s="298">
        <f t="shared" si="10"/>
        <v>2.1698113207547167</v>
      </c>
      <c r="N37" s="301" t="str">
        <f t="shared" si="11"/>
        <v>38/49</v>
      </c>
      <c r="O37" s="139" t="str">
        <f>IF(M37&gt;=DashBoard!$O$11,"Pass","Echoue")</f>
        <v>Echoue</v>
      </c>
      <c r="AC37" s="338" t="str">
        <f t="shared" si="12"/>
        <v>B</v>
      </c>
    </row>
    <row r="38" spans="1:29" x14ac:dyDescent="0.25">
      <c r="A38" s="153" t="s">
        <v>87</v>
      </c>
      <c r="B38" s="8" t="s">
        <v>90</v>
      </c>
      <c r="C38" s="8" t="s">
        <v>149</v>
      </c>
      <c r="D38" s="23"/>
      <c r="E38" s="51" t="s">
        <v>260</v>
      </c>
      <c r="F38" s="111">
        <v>102</v>
      </c>
      <c r="G38" s="111">
        <v>82</v>
      </c>
      <c r="H38" s="111">
        <v>5</v>
      </c>
      <c r="I38" s="111">
        <v>5</v>
      </c>
      <c r="J38" s="111">
        <v>5</v>
      </c>
      <c r="K38" s="111">
        <v>5</v>
      </c>
      <c r="L38" s="312">
        <f t="shared" si="9"/>
        <v>204</v>
      </c>
      <c r="M38" s="298">
        <f t="shared" si="10"/>
        <v>4.8113207547169816</v>
      </c>
      <c r="N38" s="301" t="str">
        <f t="shared" si="11"/>
        <v>17/49</v>
      </c>
      <c r="O38" s="139" t="str">
        <f>IF(M38&gt;=DashBoard!$O$11,"Pass","Echoue")</f>
        <v>Echoue</v>
      </c>
      <c r="AC38" s="338" t="str">
        <f t="shared" si="12"/>
        <v>B</v>
      </c>
    </row>
    <row r="39" spans="1:29" x14ac:dyDescent="0.25">
      <c r="A39" s="153" t="s">
        <v>89</v>
      </c>
      <c r="B39" s="8" t="s">
        <v>92</v>
      </c>
      <c r="C39" s="8" t="s">
        <v>149</v>
      </c>
      <c r="D39" s="23"/>
      <c r="E39" s="51" t="s">
        <v>260</v>
      </c>
      <c r="F39" s="111">
        <v>102</v>
      </c>
      <c r="G39" s="111">
        <v>59</v>
      </c>
      <c r="H39" s="111">
        <v>5</v>
      </c>
      <c r="I39" s="111">
        <v>5</v>
      </c>
      <c r="J39" s="111">
        <v>5</v>
      </c>
      <c r="K39" s="111">
        <v>5</v>
      </c>
      <c r="L39" s="312">
        <f t="shared" si="9"/>
        <v>181</v>
      </c>
      <c r="M39" s="298">
        <f t="shared" si="10"/>
        <v>4.2688679245283012</v>
      </c>
      <c r="N39" s="301" t="str">
        <f t="shared" si="11"/>
        <v>24/49</v>
      </c>
      <c r="O39" s="139" t="str">
        <f>IF(M39&gt;=DashBoard!$O$11,"Pass","Echoue")</f>
        <v>Echoue</v>
      </c>
      <c r="AC39" s="338" t="str">
        <f t="shared" si="12"/>
        <v>B</v>
      </c>
    </row>
    <row r="40" spans="1:29" x14ac:dyDescent="0.25">
      <c r="A40" s="153" t="s">
        <v>91</v>
      </c>
      <c r="B40" s="8" t="s">
        <v>94</v>
      </c>
      <c r="C40" s="8" t="s">
        <v>255</v>
      </c>
      <c r="D40" s="23"/>
      <c r="E40" s="51" t="s">
        <v>260</v>
      </c>
      <c r="F40" s="111">
        <v>323</v>
      </c>
      <c r="G40" s="111">
        <v>47</v>
      </c>
      <c r="H40" s="111">
        <v>5</v>
      </c>
      <c r="I40" s="111">
        <v>5</v>
      </c>
      <c r="J40" s="111">
        <v>5</v>
      </c>
      <c r="K40" s="111">
        <v>5</v>
      </c>
      <c r="L40" s="312">
        <f t="shared" si="9"/>
        <v>390</v>
      </c>
      <c r="M40" s="298">
        <f t="shared" si="10"/>
        <v>9.1981132075471699</v>
      </c>
      <c r="N40" s="301" t="str">
        <f t="shared" si="11"/>
        <v>7/49</v>
      </c>
      <c r="O40" s="139" t="str">
        <f>IF(M40&gt;=DashBoard!$O$11,"Pass","Echoue")</f>
        <v>Echoue</v>
      </c>
      <c r="AC40" s="338" t="str">
        <f t="shared" si="12"/>
        <v>B</v>
      </c>
    </row>
    <row r="41" spans="1:29" x14ac:dyDescent="0.25">
      <c r="A41" s="153" t="s">
        <v>93</v>
      </c>
      <c r="B41" s="8" t="s">
        <v>96</v>
      </c>
      <c r="C41" s="8" t="s">
        <v>255</v>
      </c>
      <c r="D41" s="23"/>
      <c r="E41" s="51" t="s">
        <v>260</v>
      </c>
      <c r="F41" s="111">
        <v>34</v>
      </c>
      <c r="G41" s="111">
        <v>48</v>
      </c>
      <c r="H41" s="111">
        <v>1</v>
      </c>
      <c r="I41" s="111">
        <v>1</v>
      </c>
      <c r="J41" s="111">
        <v>1</v>
      </c>
      <c r="K41" s="111">
        <v>1</v>
      </c>
      <c r="L41" s="312">
        <f t="shared" si="9"/>
        <v>86</v>
      </c>
      <c r="M41" s="298">
        <f t="shared" si="10"/>
        <v>2.0283018867924527</v>
      </c>
      <c r="N41" s="301" t="str">
        <f t="shared" si="11"/>
        <v>40/49</v>
      </c>
      <c r="O41" s="139" t="str">
        <f>IF(M41&gt;=DashBoard!$O$11,"Pass","Echoue")</f>
        <v>Echoue</v>
      </c>
      <c r="AC41" s="338" t="str">
        <f t="shared" si="12"/>
        <v>B</v>
      </c>
    </row>
    <row r="42" spans="1:29" x14ac:dyDescent="0.25">
      <c r="A42" s="153" t="s">
        <v>95</v>
      </c>
      <c r="B42" s="8" t="s">
        <v>98</v>
      </c>
      <c r="C42" s="8" t="s">
        <v>149</v>
      </c>
      <c r="D42" s="23"/>
      <c r="E42" s="51" t="s">
        <v>260</v>
      </c>
      <c r="F42" s="111">
        <v>255</v>
      </c>
      <c r="G42" s="111">
        <v>64</v>
      </c>
      <c r="H42" s="111">
        <v>5</v>
      </c>
      <c r="I42" s="111">
        <v>5</v>
      </c>
      <c r="J42" s="111">
        <v>5</v>
      </c>
      <c r="K42" s="111">
        <v>5</v>
      </c>
      <c r="L42" s="312">
        <f t="shared" si="9"/>
        <v>339</v>
      </c>
      <c r="M42" s="298">
        <f t="shared" si="10"/>
        <v>7.9952830188679238</v>
      </c>
      <c r="N42" s="301" t="str">
        <f t="shared" si="11"/>
        <v>10/49</v>
      </c>
      <c r="O42" s="139" t="str">
        <f>IF(M42&gt;=DashBoard!$O$11,"Pass","Echoue")</f>
        <v>Echoue</v>
      </c>
      <c r="AC42" s="338" t="str">
        <f t="shared" si="12"/>
        <v>B</v>
      </c>
    </row>
    <row r="43" spans="1:29" x14ac:dyDescent="0.25">
      <c r="A43" s="153" t="s">
        <v>97</v>
      </c>
      <c r="B43" s="8" t="s">
        <v>100</v>
      </c>
      <c r="C43" s="8" t="s">
        <v>255</v>
      </c>
      <c r="D43" s="23"/>
      <c r="E43" s="51" t="s">
        <v>260</v>
      </c>
      <c r="F43" s="111">
        <v>34</v>
      </c>
      <c r="G43" s="111">
        <v>64</v>
      </c>
      <c r="H43" s="111">
        <v>1</v>
      </c>
      <c r="I43" s="111">
        <v>1</v>
      </c>
      <c r="J43" s="111">
        <v>1</v>
      </c>
      <c r="K43" s="111">
        <v>1</v>
      </c>
      <c r="L43" s="312">
        <f t="shared" si="9"/>
        <v>102</v>
      </c>
      <c r="M43" s="298">
        <f t="shared" si="10"/>
        <v>2.4056603773584908</v>
      </c>
      <c r="N43" s="301" t="str">
        <f t="shared" si="11"/>
        <v>34/49</v>
      </c>
      <c r="O43" s="139" t="str">
        <f>IF(M43&gt;=DashBoard!$O$11,"Pass","Echoue")</f>
        <v>Echoue</v>
      </c>
      <c r="AC43" s="338" t="str">
        <f t="shared" si="12"/>
        <v>B</v>
      </c>
    </row>
    <row r="44" spans="1:29" x14ac:dyDescent="0.25">
      <c r="A44" s="153" t="s">
        <v>99</v>
      </c>
      <c r="B44" s="8" t="s">
        <v>102</v>
      </c>
      <c r="C44" s="8" t="s">
        <v>255</v>
      </c>
      <c r="D44" s="23"/>
      <c r="E44" s="51" t="s">
        <v>260</v>
      </c>
      <c r="F44" s="111">
        <v>102</v>
      </c>
      <c r="G44" s="111">
        <v>52</v>
      </c>
      <c r="H44" s="111">
        <v>5</v>
      </c>
      <c r="I44" s="111">
        <v>5</v>
      </c>
      <c r="J44" s="111">
        <v>5</v>
      </c>
      <c r="K44" s="111">
        <v>5</v>
      </c>
      <c r="L44" s="312">
        <f t="shared" si="9"/>
        <v>174</v>
      </c>
      <c r="M44" s="298">
        <f t="shared" si="10"/>
        <v>4.1037735849056602</v>
      </c>
      <c r="N44" s="301" t="str">
        <f t="shared" si="11"/>
        <v>27/49</v>
      </c>
      <c r="O44" s="139" t="str">
        <f>IF(M44&gt;=DashBoard!$O$11,"Pass","Echoue")</f>
        <v>Echoue</v>
      </c>
      <c r="AC44" s="338" t="str">
        <f t="shared" si="12"/>
        <v>B</v>
      </c>
    </row>
    <row r="45" spans="1:29" x14ac:dyDescent="0.25">
      <c r="A45" s="153" t="s">
        <v>101</v>
      </c>
      <c r="B45" s="8" t="s">
        <v>104</v>
      </c>
      <c r="C45" s="8" t="s">
        <v>149</v>
      </c>
      <c r="D45" s="23"/>
      <c r="E45" s="51" t="s">
        <v>260</v>
      </c>
      <c r="F45" s="111">
        <v>187</v>
      </c>
      <c r="G45" s="111">
        <v>66</v>
      </c>
      <c r="H45" s="111">
        <v>5</v>
      </c>
      <c r="I45" s="111">
        <v>5</v>
      </c>
      <c r="J45" s="111">
        <v>5</v>
      </c>
      <c r="K45" s="111">
        <v>5</v>
      </c>
      <c r="L45" s="312">
        <f t="shared" si="9"/>
        <v>273</v>
      </c>
      <c r="M45" s="298">
        <f t="shared" si="10"/>
        <v>6.4386792452830193</v>
      </c>
      <c r="N45" s="301" t="str">
        <f t="shared" si="11"/>
        <v>14/49</v>
      </c>
      <c r="O45" s="139" t="str">
        <f>IF(M45&gt;=DashBoard!$O$11,"Pass","Echoue")</f>
        <v>Echoue</v>
      </c>
      <c r="AC45" s="338" t="str">
        <f t="shared" si="12"/>
        <v>B</v>
      </c>
    </row>
    <row r="46" spans="1:29" x14ac:dyDescent="0.25">
      <c r="A46" s="153" t="s">
        <v>103</v>
      </c>
      <c r="B46" s="8" t="s">
        <v>106</v>
      </c>
      <c r="C46" s="8" t="s">
        <v>149</v>
      </c>
      <c r="D46" s="23"/>
      <c r="E46" s="51" t="s">
        <v>260</v>
      </c>
      <c r="F46" s="111">
        <v>187</v>
      </c>
      <c r="G46" s="111">
        <v>65</v>
      </c>
      <c r="H46" s="111">
        <v>5</v>
      </c>
      <c r="I46" s="111">
        <v>5</v>
      </c>
      <c r="J46" s="111">
        <v>5</v>
      </c>
      <c r="K46" s="111">
        <v>5</v>
      </c>
      <c r="L46" s="312">
        <f t="shared" si="9"/>
        <v>272</v>
      </c>
      <c r="M46" s="298">
        <f t="shared" si="10"/>
        <v>6.4150943396226419</v>
      </c>
      <c r="N46" s="301" t="str">
        <f t="shared" si="11"/>
        <v>15/49</v>
      </c>
      <c r="O46" s="139" t="str">
        <f>IF(M46&gt;=DashBoard!$O$11,"Pass","Echoue")</f>
        <v>Echoue</v>
      </c>
      <c r="AC46" s="338" t="str">
        <f t="shared" si="12"/>
        <v>B</v>
      </c>
    </row>
    <row r="47" spans="1:29" x14ac:dyDescent="0.25">
      <c r="A47" s="153" t="s">
        <v>105</v>
      </c>
      <c r="B47" s="8" t="s">
        <v>108</v>
      </c>
      <c r="C47" s="8" t="s">
        <v>149</v>
      </c>
      <c r="D47" s="23"/>
      <c r="E47" s="51" t="s">
        <v>260</v>
      </c>
      <c r="F47" s="111">
        <v>34</v>
      </c>
      <c r="G47" s="111">
        <v>49</v>
      </c>
      <c r="H47" s="111">
        <v>1</v>
      </c>
      <c r="I47" s="111">
        <v>1</v>
      </c>
      <c r="J47" s="111">
        <v>1</v>
      </c>
      <c r="K47" s="111">
        <v>1</v>
      </c>
      <c r="L47" s="312">
        <f t="shared" si="9"/>
        <v>87</v>
      </c>
      <c r="M47" s="298">
        <f t="shared" si="10"/>
        <v>2.0518867924528301</v>
      </c>
      <c r="N47" s="301" t="str">
        <f t="shared" si="11"/>
        <v>39/49</v>
      </c>
      <c r="O47" s="139" t="str">
        <f>IF(M47&gt;=DashBoard!$O$11,"Pass","Echoue")</f>
        <v>Echoue</v>
      </c>
      <c r="AC47" s="338" t="str">
        <f t="shared" si="12"/>
        <v>B</v>
      </c>
    </row>
    <row r="48" spans="1:29" x14ac:dyDescent="0.25">
      <c r="A48" s="153" t="s">
        <v>107</v>
      </c>
      <c r="B48" s="8" t="s">
        <v>110</v>
      </c>
      <c r="C48" s="8" t="s">
        <v>255</v>
      </c>
      <c r="D48" s="23"/>
      <c r="E48" s="51" t="s">
        <v>260</v>
      </c>
      <c r="F48" s="111">
        <v>34</v>
      </c>
      <c r="G48" s="111">
        <v>61</v>
      </c>
      <c r="H48" s="111">
        <v>1</v>
      </c>
      <c r="I48" s="111">
        <v>1</v>
      </c>
      <c r="J48" s="111">
        <v>1</v>
      </c>
      <c r="K48" s="111">
        <v>1</v>
      </c>
      <c r="L48" s="312">
        <f t="shared" si="9"/>
        <v>99</v>
      </c>
      <c r="M48" s="298">
        <f t="shared" si="10"/>
        <v>2.3349056603773581</v>
      </c>
      <c r="N48" s="301" t="str">
        <f t="shared" si="11"/>
        <v>35/49</v>
      </c>
      <c r="O48" s="139" t="str">
        <f>IF(M48&gt;=DashBoard!$O$11,"Pass","Echoue")</f>
        <v>Echoue</v>
      </c>
      <c r="AC48" s="338" t="str">
        <f t="shared" si="12"/>
        <v>B</v>
      </c>
    </row>
    <row r="49" spans="1:29" x14ac:dyDescent="0.25">
      <c r="A49" s="153" t="s">
        <v>109</v>
      </c>
      <c r="B49" s="8" t="s">
        <v>112</v>
      </c>
      <c r="C49" s="8" t="s">
        <v>149</v>
      </c>
      <c r="D49" s="23"/>
      <c r="E49" s="51" t="s">
        <v>260</v>
      </c>
      <c r="F49" s="111">
        <v>102</v>
      </c>
      <c r="G49" s="111">
        <v>74</v>
      </c>
      <c r="H49" s="111">
        <v>5</v>
      </c>
      <c r="I49" s="111">
        <v>5</v>
      </c>
      <c r="J49" s="111">
        <v>5</v>
      </c>
      <c r="K49" s="111">
        <v>5</v>
      </c>
      <c r="L49" s="312">
        <f t="shared" si="9"/>
        <v>196</v>
      </c>
      <c r="M49" s="298">
        <f t="shared" si="10"/>
        <v>4.6226415094339623</v>
      </c>
      <c r="N49" s="301" t="str">
        <f t="shared" si="11"/>
        <v>19/49</v>
      </c>
      <c r="O49" s="139" t="str">
        <f>IF(M49&gt;=DashBoard!$O$11,"Pass","Echoue")</f>
        <v>Echoue</v>
      </c>
      <c r="AC49" s="338" t="str">
        <f t="shared" si="12"/>
        <v>B</v>
      </c>
    </row>
    <row r="50" spans="1:29" x14ac:dyDescent="0.25">
      <c r="A50" s="153" t="s">
        <v>111</v>
      </c>
      <c r="B50" s="8" t="s">
        <v>114</v>
      </c>
      <c r="C50" s="8" t="s">
        <v>149</v>
      </c>
      <c r="D50" s="23"/>
      <c r="E50" s="51" t="s">
        <v>260</v>
      </c>
      <c r="F50" s="111">
        <v>340</v>
      </c>
      <c r="G50" s="111">
        <v>64</v>
      </c>
      <c r="H50" s="111">
        <v>5</v>
      </c>
      <c r="I50" s="111">
        <v>5</v>
      </c>
      <c r="J50" s="111">
        <v>5</v>
      </c>
      <c r="K50" s="111">
        <v>5</v>
      </c>
      <c r="L50" s="312">
        <f t="shared" si="9"/>
        <v>424</v>
      </c>
      <c r="M50" s="298">
        <f t="shared" si="10"/>
        <v>10</v>
      </c>
      <c r="N50" s="301" t="str">
        <f t="shared" si="11"/>
        <v>3/49</v>
      </c>
      <c r="O50" s="139" t="str">
        <f>IF(M50&gt;=DashBoard!$O$11,"Pass","Echoue")</f>
        <v>Echoue</v>
      </c>
      <c r="AC50" s="338" t="str">
        <f t="shared" si="12"/>
        <v>B</v>
      </c>
    </row>
    <row r="51" spans="1:29" x14ac:dyDescent="0.25">
      <c r="A51" s="153" t="s">
        <v>113</v>
      </c>
      <c r="B51" s="8" t="s">
        <v>116</v>
      </c>
      <c r="C51" s="8" t="s">
        <v>149</v>
      </c>
      <c r="D51" s="23"/>
      <c r="E51" s="51" t="s">
        <v>260</v>
      </c>
      <c r="F51" s="111">
        <v>102</v>
      </c>
      <c r="G51" s="111">
        <v>56</v>
      </c>
      <c r="H51" s="111">
        <v>5</v>
      </c>
      <c r="I51" s="111">
        <v>5</v>
      </c>
      <c r="J51" s="111">
        <v>5</v>
      </c>
      <c r="K51" s="111">
        <v>5</v>
      </c>
      <c r="L51" s="312">
        <f t="shared" si="9"/>
        <v>178</v>
      </c>
      <c r="M51" s="298">
        <f t="shared" si="10"/>
        <v>4.1981132075471699</v>
      </c>
      <c r="N51" s="301" t="str">
        <f t="shared" si="11"/>
        <v>26/49</v>
      </c>
      <c r="O51" s="139" t="str">
        <f>IF(M51&gt;=DashBoard!$O$11,"Pass","Echoue")</f>
        <v>Echoue</v>
      </c>
      <c r="AC51" s="338" t="str">
        <f t="shared" si="12"/>
        <v>B</v>
      </c>
    </row>
    <row r="52" spans="1:29" x14ac:dyDescent="0.25">
      <c r="A52" s="153" t="s">
        <v>115</v>
      </c>
      <c r="B52" s="8" t="s">
        <v>118</v>
      </c>
      <c r="C52" s="8" t="s">
        <v>149</v>
      </c>
      <c r="D52" s="23"/>
      <c r="E52" s="51" t="s">
        <v>260</v>
      </c>
      <c r="F52" s="111">
        <v>102</v>
      </c>
      <c r="G52" s="111">
        <v>58</v>
      </c>
      <c r="H52" s="111">
        <v>5</v>
      </c>
      <c r="I52" s="111">
        <v>5</v>
      </c>
      <c r="J52" s="111">
        <v>5</v>
      </c>
      <c r="K52" s="111">
        <v>5</v>
      </c>
      <c r="L52" s="312">
        <f t="shared" si="9"/>
        <v>180</v>
      </c>
      <c r="M52" s="298">
        <f t="shared" si="10"/>
        <v>4.2452830188679247</v>
      </c>
      <c r="N52" s="301" t="str">
        <f t="shared" si="11"/>
        <v>25/49</v>
      </c>
      <c r="O52" s="139" t="str">
        <f>IF(M52&gt;=DashBoard!$O$11,"Pass","Echoue")</f>
        <v>Echoue</v>
      </c>
      <c r="AC52" s="338" t="str">
        <f t="shared" si="12"/>
        <v>B</v>
      </c>
    </row>
    <row r="53" spans="1:29" x14ac:dyDescent="0.25">
      <c r="A53" s="153" t="s">
        <v>117</v>
      </c>
      <c r="B53" s="8" t="s">
        <v>120</v>
      </c>
      <c r="C53" s="8" t="s">
        <v>255</v>
      </c>
      <c r="D53" s="23"/>
      <c r="E53" s="51" t="s">
        <v>260</v>
      </c>
      <c r="F53" s="111">
        <v>255</v>
      </c>
      <c r="G53" s="111">
        <v>50</v>
      </c>
      <c r="H53" s="111">
        <v>5</v>
      </c>
      <c r="I53" s="111">
        <v>5</v>
      </c>
      <c r="J53" s="111">
        <v>5</v>
      </c>
      <c r="K53" s="111">
        <v>5</v>
      </c>
      <c r="L53" s="312">
        <f t="shared" si="9"/>
        <v>325</v>
      </c>
      <c r="M53" s="298">
        <f t="shared" si="10"/>
        <v>7.665094339622641</v>
      </c>
      <c r="N53" s="301" t="str">
        <f t="shared" si="11"/>
        <v>11/49</v>
      </c>
      <c r="O53" s="139" t="str">
        <f>IF(M53&gt;=DashBoard!$O$11,"Pass","Echoue")</f>
        <v>Echoue</v>
      </c>
      <c r="AC53" s="338" t="str">
        <f t="shared" si="12"/>
        <v>B</v>
      </c>
    </row>
    <row r="54" spans="1:29" x14ac:dyDescent="0.25">
      <c r="A54" s="153" t="s">
        <v>119</v>
      </c>
      <c r="B54" s="8" t="s">
        <v>122</v>
      </c>
      <c r="C54" s="8" t="s">
        <v>255</v>
      </c>
      <c r="D54" s="23"/>
      <c r="E54" s="51" t="s">
        <v>260</v>
      </c>
      <c r="F54" s="111">
        <v>102</v>
      </c>
      <c r="G54" s="111">
        <v>77</v>
      </c>
      <c r="H54" s="111">
        <v>5</v>
      </c>
      <c r="I54" s="111">
        <v>5</v>
      </c>
      <c r="J54" s="111">
        <v>5</v>
      </c>
      <c r="K54" s="111">
        <v>5</v>
      </c>
      <c r="L54" s="312">
        <f t="shared" si="9"/>
        <v>199</v>
      </c>
      <c r="M54" s="298">
        <f t="shared" si="10"/>
        <v>4.6933962264150946</v>
      </c>
      <c r="N54" s="301" t="str">
        <f t="shared" si="11"/>
        <v>18/49</v>
      </c>
      <c r="O54" s="139" t="str">
        <f>IF(M54&gt;=DashBoard!$O$11,"Pass","Echoue")</f>
        <v>Echoue</v>
      </c>
      <c r="AC54" s="338" t="str">
        <f t="shared" si="12"/>
        <v>B</v>
      </c>
    </row>
    <row r="55" spans="1:29" x14ac:dyDescent="0.25">
      <c r="A55" s="153" t="s">
        <v>121</v>
      </c>
      <c r="B55" s="8" t="s">
        <v>124</v>
      </c>
      <c r="C55" s="8" t="s">
        <v>255</v>
      </c>
      <c r="D55" s="23"/>
      <c r="E55" s="51" t="s">
        <v>260</v>
      </c>
      <c r="F55" s="111">
        <v>102</v>
      </c>
      <c r="G55" s="111">
        <v>61</v>
      </c>
      <c r="H55" s="111">
        <v>5</v>
      </c>
      <c r="I55" s="111">
        <v>5</v>
      </c>
      <c r="J55" s="111">
        <v>5</v>
      </c>
      <c r="K55" s="111">
        <v>5</v>
      </c>
      <c r="L55" s="312">
        <f t="shared" si="9"/>
        <v>183</v>
      </c>
      <c r="M55" s="298">
        <f t="shared" si="10"/>
        <v>4.316037735849056</v>
      </c>
      <c r="N55" s="301" t="str">
        <f t="shared" si="11"/>
        <v>23/49</v>
      </c>
      <c r="O55" s="139" t="str">
        <f>IF(M55&gt;=DashBoard!$O$11,"Pass","Echoue")</f>
        <v>Echoue</v>
      </c>
      <c r="AC55" s="338" t="str">
        <f t="shared" si="12"/>
        <v>B</v>
      </c>
    </row>
    <row r="56" spans="1:29" x14ac:dyDescent="0.25">
      <c r="A56" s="153" t="s">
        <v>123</v>
      </c>
      <c r="B56" s="8" t="s">
        <v>126</v>
      </c>
      <c r="C56" s="8" t="s">
        <v>255</v>
      </c>
      <c r="D56" s="23"/>
      <c r="E56" s="51" t="s">
        <v>260</v>
      </c>
      <c r="F56" s="111">
        <v>102</v>
      </c>
      <c r="G56" s="111">
        <v>68</v>
      </c>
      <c r="H56" s="111">
        <v>5</v>
      </c>
      <c r="I56" s="111">
        <v>5</v>
      </c>
      <c r="J56" s="111">
        <v>5</v>
      </c>
      <c r="K56" s="111">
        <v>5</v>
      </c>
      <c r="L56" s="312">
        <f t="shared" si="9"/>
        <v>190</v>
      </c>
      <c r="M56" s="298">
        <f t="shared" si="10"/>
        <v>4.4811320754716979</v>
      </c>
      <c r="N56" s="301" t="str">
        <f t="shared" si="11"/>
        <v>22/49</v>
      </c>
      <c r="O56" s="139" t="str">
        <f>IF(M56&gt;=DashBoard!$O$11,"Pass","Echoue")</f>
        <v>Echoue</v>
      </c>
      <c r="AC56" s="338" t="str">
        <f t="shared" si="12"/>
        <v>B</v>
      </c>
    </row>
    <row r="57" spans="1:29" x14ac:dyDescent="0.25">
      <c r="A57" s="153" t="s">
        <v>125</v>
      </c>
      <c r="B57" s="8" t="s">
        <v>128</v>
      </c>
      <c r="C57" s="8" t="s">
        <v>255</v>
      </c>
      <c r="D57" s="23"/>
      <c r="E57" s="51" t="s">
        <v>260</v>
      </c>
      <c r="F57" s="111">
        <v>204</v>
      </c>
      <c r="G57" s="111">
        <v>54</v>
      </c>
      <c r="H57" s="111">
        <v>2</v>
      </c>
      <c r="I57" s="111">
        <v>2</v>
      </c>
      <c r="J57" s="111">
        <v>2</v>
      </c>
      <c r="K57" s="111">
        <v>2</v>
      </c>
      <c r="L57" s="312">
        <f t="shared" si="9"/>
        <v>266</v>
      </c>
      <c r="M57" s="298">
        <f t="shared" si="10"/>
        <v>6.2735849056603774</v>
      </c>
      <c r="N57" s="301" t="str">
        <f t="shared" si="11"/>
        <v>16/49</v>
      </c>
      <c r="O57" s="139" t="str">
        <f>IF(M57&gt;=DashBoard!$O$11,"Pass","Echoue")</f>
        <v>Echoue</v>
      </c>
      <c r="AC57" s="338" t="str">
        <f t="shared" si="12"/>
        <v>B</v>
      </c>
    </row>
    <row r="58" spans="1:29" x14ac:dyDescent="0.25">
      <c r="A58" s="153" t="s">
        <v>127</v>
      </c>
      <c r="B58" s="8" t="s">
        <v>130</v>
      </c>
      <c r="C58" s="8" t="s">
        <v>255</v>
      </c>
      <c r="D58" s="23"/>
      <c r="E58" s="51" t="s">
        <v>260</v>
      </c>
      <c r="F58" s="111">
        <v>51</v>
      </c>
      <c r="G58" s="111">
        <v>63</v>
      </c>
      <c r="H58" s="111">
        <v>2</v>
      </c>
      <c r="I58" s="111">
        <v>2</v>
      </c>
      <c r="J58" s="111">
        <v>2</v>
      </c>
      <c r="K58" s="111">
        <v>2</v>
      </c>
      <c r="L58" s="312">
        <f t="shared" si="9"/>
        <v>122</v>
      </c>
      <c r="M58" s="298">
        <f t="shared" si="10"/>
        <v>2.8773584905660377</v>
      </c>
      <c r="N58" s="301" t="str">
        <f t="shared" si="11"/>
        <v>32/49</v>
      </c>
      <c r="O58" s="139" t="str">
        <f>IF(M58&gt;=DashBoard!$O$11,"Pass","Echoue")</f>
        <v>Echoue</v>
      </c>
      <c r="AC58" s="338" t="str">
        <f t="shared" si="12"/>
        <v>B</v>
      </c>
    </row>
    <row r="59" spans="1:29" x14ac:dyDescent="0.25">
      <c r="A59" s="153" t="s">
        <v>129</v>
      </c>
      <c r="B59" s="8" t="s">
        <v>132</v>
      </c>
      <c r="C59" s="8" t="s">
        <v>149</v>
      </c>
      <c r="D59" s="23"/>
      <c r="E59" s="51" t="s">
        <v>260</v>
      </c>
      <c r="F59" s="111">
        <v>323</v>
      </c>
      <c r="G59" s="111">
        <v>49</v>
      </c>
      <c r="H59" s="111">
        <v>5</v>
      </c>
      <c r="I59" s="111">
        <v>5</v>
      </c>
      <c r="J59" s="111">
        <v>5</v>
      </c>
      <c r="K59" s="111">
        <v>5</v>
      </c>
      <c r="L59" s="312">
        <f t="shared" si="9"/>
        <v>392</v>
      </c>
      <c r="M59" s="298">
        <f t="shared" si="10"/>
        <v>9.2452830188679247</v>
      </c>
      <c r="N59" s="301" t="str">
        <f t="shared" si="11"/>
        <v>6/49</v>
      </c>
      <c r="O59" s="139" t="str">
        <f>IF(M59&gt;=DashBoard!$O$11,"Pass","Echoue")</f>
        <v>Echoue</v>
      </c>
      <c r="AC59" s="338" t="str">
        <f t="shared" si="12"/>
        <v>B</v>
      </c>
    </row>
    <row r="60" spans="1:29" x14ac:dyDescent="0.25">
      <c r="A60" s="153" t="s">
        <v>131</v>
      </c>
      <c r="B60" s="8" t="s">
        <v>134</v>
      </c>
      <c r="C60" s="8" t="s">
        <v>149</v>
      </c>
      <c r="D60" s="23"/>
      <c r="E60" s="51" t="s">
        <v>260</v>
      </c>
      <c r="F60" s="111">
        <v>34</v>
      </c>
      <c r="G60" s="111">
        <v>40</v>
      </c>
      <c r="H60" s="111">
        <v>1</v>
      </c>
      <c r="I60" s="111">
        <v>1</v>
      </c>
      <c r="J60" s="111">
        <v>1</v>
      </c>
      <c r="K60" s="111">
        <v>1</v>
      </c>
      <c r="L60" s="312">
        <f t="shared" si="9"/>
        <v>78</v>
      </c>
      <c r="M60" s="298">
        <f t="shared" si="10"/>
        <v>1.8396226415094339</v>
      </c>
      <c r="N60" s="301" t="str">
        <f t="shared" si="11"/>
        <v>42/49</v>
      </c>
      <c r="O60" s="139" t="str">
        <f>IF(M60&gt;=DashBoard!$O$11,"Pass","Echoue")</f>
        <v>Echoue</v>
      </c>
      <c r="AC60" s="338" t="str">
        <f t="shared" si="12"/>
        <v>B</v>
      </c>
    </row>
    <row r="61" spans="1:29" x14ac:dyDescent="0.25">
      <c r="A61" s="153" t="s">
        <v>133</v>
      </c>
      <c r="B61" s="8" t="s">
        <v>136</v>
      </c>
      <c r="C61" s="8" t="s">
        <v>149</v>
      </c>
      <c r="D61" s="23"/>
      <c r="E61" s="51" t="s">
        <v>260</v>
      </c>
      <c r="F61" s="111">
        <v>34</v>
      </c>
      <c r="G61" s="111">
        <v>46</v>
      </c>
      <c r="H61" s="111">
        <v>1</v>
      </c>
      <c r="I61" s="111">
        <v>1</v>
      </c>
      <c r="J61" s="111">
        <v>1</v>
      </c>
      <c r="K61" s="111">
        <v>1</v>
      </c>
      <c r="L61" s="312">
        <f t="shared" si="9"/>
        <v>84</v>
      </c>
      <c r="M61" s="298">
        <f t="shared" si="10"/>
        <v>1.9811320754716981</v>
      </c>
      <c r="N61" s="301" t="str">
        <f t="shared" si="11"/>
        <v>41/49</v>
      </c>
      <c r="O61" s="139" t="str">
        <f>IF(M61&gt;=DashBoard!$O$11,"Pass","Echoue")</f>
        <v>Echoue</v>
      </c>
      <c r="AC61" s="338" t="str">
        <f t="shared" si="12"/>
        <v>B</v>
      </c>
    </row>
    <row r="62" spans="1:29" x14ac:dyDescent="0.25">
      <c r="A62" s="153" t="s">
        <v>135</v>
      </c>
      <c r="B62" s="8" t="s">
        <v>138</v>
      </c>
      <c r="C62" s="8" t="s">
        <v>149</v>
      </c>
      <c r="D62" s="23"/>
      <c r="E62" s="51" t="s">
        <v>260</v>
      </c>
      <c r="F62" s="111">
        <v>51</v>
      </c>
      <c r="G62" s="111">
        <v>61</v>
      </c>
      <c r="H62" s="111">
        <v>2</v>
      </c>
      <c r="I62" s="111">
        <v>2</v>
      </c>
      <c r="J62" s="111">
        <v>2</v>
      </c>
      <c r="K62" s="111">
        <v>2</v>
      </c>
      <c r="L62" s="312">
        <f t="shared" si="9"/>
        <v>120</v>
      </c>
      <c r="M62" s="298">
        <f t="shared" si="10"/>
        <v>2.8301886792452833</v>
      </c>
      <c r="N62" s="301" t="str">
        <f t="shared" si="11"/>
        <v>33/49</v>
      </c>
      <c r="O62" s="139" t="str">
        <f>IF(M62&gt;=DashBoard!$O$11,"Pass","Echoue")</f>
        <v>Echoue</v>
      </c>
      <c r="AC62" s="338" t="str">
        <f t="shared" si="12"/>
        <v>B</v>
      </c>
    </row>
    <row r="63" spans="1:29" x14ac:dyDescent="0.25">
      <c r="A63" s="153" t="s">
        <v>137</v>
      </c>
      <c r="B63" s="8" t="s">
        <v>139</v>
      </c>
      <c r="C63" s="8" t="s">
        <v>255</v>
      </c>
      <c r="D63" s="23"/>
      <c r="E63" s="51" t="s">
        <v>260</v>
      </c>
      <c r="F63" s="111">
        <v>102</v>
      </c>
      <c r="G63" s="111">
        <v>71</v>
      </c>
      <c r="H63" s="111">
        <v>5</v>
      </c>
      <c r="I63" s="111">
        <v>5</v>
      </c>
      <c r="J63" s="111">
        <v>5</v>
      </c>
      <c r="K63" s="111">
        <v>5</v>
      </c>
      <c r="L63" s="312">
        <f t="shared" si="9"/>
        <v>193</v>
      </c>
      <c r="M63" s="298">
        <f t="shared" si="10"/>
        <v>4.5518867924528301</v>
      </c>
      <c r="N63" s="301" t="str">
        <f t="shared" si="11"/>
        <v>20/49</v>
      </c>
      <c r="O63" s="139" t="str">
        <f>IF(M63&gt;=DashBoard!$O$11,"Pass","Echoue")</f>
        <v>Echoue</v>
      </c>
      <c r="AC63" s="338" t="str">
        <f t="shared" si="12"/>
        <v>B</v>
      </c>
    </row>
    <row r="64" spans="1:29" x14ac:dyDescent="0.25">
      <c r="A64" s="153" t="s">
        <v>147</v>
      </c>
      <c r="B64" s="8" t="s">
        <v>148</v>
      </c>
      <c r="C64" s="8" t="s">
        <v>149</v>
      </c>
      <c r="D64" s="23" t="s">
        <v>150</v>
      </c>
      <c r="E64" s="51" t="s">
        <v>260</v>
      </c>
      <c r="F64" s="111">
        <v>289</v>
      </c>
      <c r="G64" s="111">
        <v>57</v>
      </c>
      <c r="H64" s="111">
        <v>7</v>
      </c>
      <c r="I64" s="111">
        <v>7</v>
      </c>
      <c r="J64" s="111">
        <v>7</v>
      </c>
      <c r="K64" s="111">
        <v>7</v>
      </c>
      <c r="L64" s="312">
        <f t="shared" si="9"/>
        <v>374</v>
      </c>
      <c r="M64" s="298">
        <f t="shared" si="10"/>
        <v>8.8207547169811313</v>
      </c>
      <c r="N64" s="301" t="str">
        <f t="shared" si="11"/>
        <v>8/49</v>
      </c>
      <c r="O64" s="139" t="str">
        <f>IF(M64&gt;=DashBoard!$O$11,"Pass","Echoue")</f>
        <v>Echoue</v>
      </c>
      <c r="AC64" s="338" t="str">
        <f t="shared" si="12"/>
        <v>B</v>
      </c>
    </row>
    <row r="65" spans="1:29" x14ac:dyDescent="0.25">
      <c r="A65" s="153" t="s">
        <v>253</v>
      </c>
      <c r="B65" s="8" t="s">
        <v>254</v>
      </c>
      <c r="C65" s="8" t="s">
        <v>255</v>
      </c>
      <c r="D65" s="23" t="s">
        <v>256</v>
      </c>
      <c r="E65" s="51" t="s">
        <v>260</v>
      </c>
      <c r="F65" s="111">
        <v>102</v>
      </c>
      <c r="G65" s="111">
        <v>52.6</v>
      </c>
      <c r="H65" s="111">
        <v>0</v>
      </c>
      <c r="I65" s="111">
        <v>0</v>
      </c>
      <c r="J65" s="111">
        <v>0</v>
      </c>
      <c r="K65" s="111">
        <v>0</v>
      </c>
      <c r="L65" s="312">
        <f t="shared" si="9"/>
        <v>154.6</v>
      </c>
      <c r="M65" s="298">
        <f t="shared" si="10"/>
        <v>3.6462264150943398</v>
      </c>
      <c r="N65" s="301" t="str">
        <f t="shared" si="11"/>
        <v>29/49</v>
      </c>
      <c r="O65" s="139" t="str">
        <f>IF(M65&gt;=DashBoard!$O$11,"Pass","Echoue")</f>
        <v>Echoue</v>
      </c>
      <c r="AC65" s="338" t="str">
        <f t="shared" si="12"/>
        <v>B</v>
      </c>
    </row>
    <row r="66" spans="1:29" x14ac:dyDescent="0.25">
      <c r="A66" s="153"/>
      <c r="B66" s="8"/>
      <c r="C66" s="8"/>
      <c r="D66" s="23"/>
      <c r="E66" s="51"/>
      <c r="F66" s="111"/>
      <c r="G66" s="111"/>
      <c r="H66" s="111"/>
      <c r="I66" s="111"/>
      <c r="J66" s="111"/>
      <c r="K66" s="111"/>
      <c r="L66" s="312">
        <f t="shared" si="9"/>
        <v>0</v>
      </c>
      <c r="M66" s="298">
        <f t="shared" si="10"/>
        <v>0</v>
      </c>
      <c r="N66" s="301" t="str">
        <f t="shared" si="11"/>
        <v>43/49</v>
      </c>
      <c r="O66" s="139" t="str">
        <f>IF(M66&gt;=DashBoard!$O$11,"Pass","Echoue")</f>
        <v>Echoue</v>
      </c>
      <c r="AC66" s="338" t="str">
        <f t="shared" si="12"/>
        <v>B</v>
      </c>
    </row>
    <row r="67" spans="1:29" x14ac:dyDescent="0.25">
      <c r="A67" s="153"/>
      <c r="B67" s="8"/>
      <c r="C67" s="8"/>
      <c r="D67" s="23"/>
      <c r="E67" s="51"/>
      <c r="F67" s="111"/>
      <c r="G67" s="111"/>
      <c r="H67" s="111"/>
      <c r="I67" s="111"/>
      <c r="J67" s="111"/>
      <c r="K67" s="111"/>
      <c r="L67" s="312">
        <f t="shared" si="9"/>
        <v>0</v>
      </c>
      <c r="M67" s="298">
        <f t="shared" si="10"/>
        <v>0</v>
      </c>
      <c r="N67" s="301" t="str">
        <f t="shared" si="11"/>
        <v>43/49</v>
      </c>
      <c r="O67" s="139" t="str">
        <f>IF(M67&gt;=DashBoard!$O$11,"Pass","Echoue")</f>
        <v>Echoue</v>
      </c>
      <c r="AC67" s="338" t="str">
        <f t="shared" si="12"/>
        <v>B</v>
      </c>
    </row>
    <row r="68" spans="1:29" x14ac:dyDescent="0.25">
      <c r="A68" s="153"/>
      <c r="B68" s="8"/>
      <c r="C68" s="8"/>
      <c r="D68" s="23"/>
      <c r="E68" s="51"/>
      <c r="F68" s="111"/>
      <c r="G68" s="111"/>
      <c r="H68" s="111"/>
      <c r="I68" s="111"/>
      <c r="J68" s="111"/>
      <c r="K68" s="111"/>
      <c r="L68" s="312">
        <f t="shared" si="9"/>
        <v>0</v>
      </c>
      <c r="M68" s="298">
        <f t="shared" si="10"/>
        <v>0</v>
      </c>
      <c r="N68" s="301" t="str">
        <f t="shared" si="11"/>
        <v>43/49</v>
      </c>
      <c r="O68" s="139" t="str">
        <f>IF(M68&gt;=DashBoard!$O$11,"Pass","Echoue")</f>
        <v>Echoue</v>
      </c>
      <c r="AC68" s="338" t="str">
        <f t="shared" si="12"/>
        <v>B</v>
      </c>
    </row>
    <row r="69" spans="1:29" x14ac:dyDescent="0.25">
      <c r="A69" s="153"/>
      <c r="B69" s="8"/>
      <c r="C69" s="8"/>
      <c r="D69" s="23"/>
      <c r="E69" s="51"/>
      <c r="F69" s="111"/>
      <c r="G69" s="111"/>
      <c r="H69" s="111"/>
      <c r="I69" s="111"/>
      <c r="J69" s="111"/>
      <c r="K69" s="111"/>
      <c r="L69" s="312">
        <f t="shared" si="9"/>
        <v>0</v>
      </c>
      <c r="M69" s="298">
        <f t="shared" si="10"/>
        <v>0</v>
      </c>
      <c r="N69" s="301" t="str">
        <f t="shared" si="11"/>
        <v>43/49</v>
      </c>
      <c r="O69" s="139" t="str">
        <f>IF(M69&gt;=DashBoard!$O$11,"Pass","Echoue")</f>
        <v>Echoue</v>
      </c>
      <c r="AC69" s="338" t="str">
        <f t="shared" si="12"/>
        <v>B</v>
      </c>
    </row>
    <row r="70" spans="1:29" x14ac:dyDescent="0.25">
      <c r="A70" s="153"/>
      <c r="B70" s="8"/>
      <c r="C70" s="8"/>
      <c r="D70" s="23"/>
      <c r="E70" s="51"/>
      <c r="F70" s="111"/>
      <c r="G70" s="111"/>
      <c r="H70" s="111"/>
      <c r="I70" s="111"/>
      <c r="J70" s="111"/>
      <c r="K70" s="111"/>
      <c r="L70" s="312">
        <f t="shared" si="9"/>
        <v>0</v>
      </c>
      <c r="M70" s="298">
        <f t="shared" si="10"/>
        <v>0</v>
      </c>
      <c r="N70" s="301" t="str">
        <f t="shared" si="11"/>
        <v>43/49</v>
      </c>
      <c r="O70" s="139" t="str">
        <f>IF(M70&gt;=DashBoard!$O$11,"Pass","Echoue")</f>
        <v>Echoue</v>
      </c>
      <c r="AC70" s="338" t="str">
        <f t="shared" si="12"/>
        <v>B</v>
      </c>
    </row>
    <row r="71" spans="1:29" x14ac:dyDescent="0.25">
      <c r="A71" s="153"/>
      <c r="B71" s="8"/>
      <c r="C71" s="8"/>
      <c r="D71" s="23"/>
      <c r="E71" s="51"/>
      <c r="F71" s="111"/>
      <c r="G71" s="111"/>
      <c r="H71" s="111"/>
      <c r="I71" s="111"/>
      <c r="J71" s="111"/>
      <c r="K71" s="111"/>
      <c r="L71" s="312">
        <f t="shared" si="9"/>
        <v>0</v>
      </c>
      <c r="M71" s="298">
        <f t="shared" si="10"/>
        <v>0</v>
      </c>
      <c r="N71" s="301" t="str">
        <f t="shared" si="11"/>
        <v>43/49</v>
      </c>
      <c r="O71" s="139" t="str">
        <f>IF(M71&gt;=DashBoard!$O$11,"Pass","Echoue")</f>
        <v>Echoue</v>
      </c>
      <c r="AC71" s="338" t="str">
        <f t="shared" si="12"/>
        <v>B</v>
      </c>
    </row>
    <row r="72" spans="1:29" x14ac:dyDescent="0.25">
      <c r="A72" s="153"/>
      <c r="B72" s="8"/>
      <c r="C72" s="8"/>
      <c r="D72" s="23"/>
      <c r="E72" s="51"/>
      <c r="F72" s="111"/>
      <c r="G72" s="111"/>
      <c r="H72" s="111"/>
      <c r="I72" s="111"/>
      <c r="J72" s="111"/>
      <c r="K72" s="111"/>
      <c r="L72" s="312">
        <f t="shared" si="9"/>
        <v>0</v>
      </c>
      <c r="M72" s="298">
        <f t="shared" si="10"/>
        <v>0</v>
      </c>
      <c r="N72" s="301" t="str">
        <f t="shared" si="11"/>
        <v>43/49</v>
      </c>
      <c r="O72" s="139" t="str">
        <f>IF(M72&gt;=DashBoard!$O$11,"Pass","Echoue")</f>
        <v>Echoue</v>
      </c>
      <c r="AC72" s="338" t="str">
        <f t="shared" si="12"/>
        <v>B</v>
      </c>
    </row>
    <row r="73" spans="1:29" x14ac:dyDescent="0.25">
      <c r="A73" s="153"/>
      <c r="B73" s="8"/>
      <c r="C73" s="8"/>
      <c r="D73" s="23"/>
      <c r="E73" s="51"/>
      <c r="F73" s="111"/>
      <c r="G73" s="111"/>
      <c r="H73" s="111"/>
      <c r="I73" s="111"/>
      <c r="J73" s="111"/>
      <c r="K73" s="111"/>
      <c r="L73" s="312">
        <f t="shared" si="9"/>
        <v>0</v>
      </c>
      <c r="M73" s="298">
        <f t="shared" si="10"/>
        <v>0</v>
      </c>
      <c r="N73" s="301" t="str">
        <f t="shared" si="11"/>
        <v>43/49</v>
      </c>
      <c r="O73" s="139" t="str">
        <f>IF(M73&gt;=DashBoard!$O$11,"Pass","Echoue")</f>
        <v>Echoue</v>
      </c>
      <c r="AC73" s="338" t="str">
        <f t="shared" si="12"/>
        <v>B</v>
      </c>
    </row>
    <row r="74" spans="1:29" x14ac:dyDescent="0.25">
      <c r="A74" s="153"/>
      <c r="B74" s="8"/>
      <c r="C74" s="8"/>
      <c r="D74" s="23"/>
      <c r="E74" s="51"/>
      <c r="F74" s="111"/>
      <c r="G74" s="111"/>
      <c r="H74" s="111"/>
      <c r="I74" s="111"/>
      <c r="J74" s="111"/>
      <c r="K74" s="111"/>
      <c r="L74" s="312">
        <f t="shared" si="9"/>
        <v>0</v>
      </c>
      <c r="M74" s="298">
        <f t="shared" si="10"/>
        <v>0</v>
      </c>
      <c r="N74" s="301" t="str">
        <f t="shared" si="11"/>
        <v>43/49</v>
      </c>
      <c r="O74" s="139" t="str">
        <f>IF(M74&gt;=DashBoard!$O$11,"Pass","Echoue")</f>
        <v>Echoue</v>
      </c>
      <c r="AC74" s="338" t="str">
        <f t="shared" si="12"/>
        <v>B</v>
      </c>
    </row>
    <row r="75" spans="1:29" x14ac:dyDescent="0.25">
      <c r="A75" s="153"/>
      <c r="B75" s="8"/>
      <c r="C75" s="8"/>
      <c r="D75" s="23"/>
      <c r="E75" s="51"/>
      <c r="F75" s="111"/>
      <c r="G75" s="111"/>
      <c r="H75" s="111"/>
      <c r="I75" s="111"/>
      <c r="J75" s="111"/>
      <c r="K75" s="111"/>
      <c r="L75" s="312">
        <f t="shared" si="9"/>
        <v>0</v>
      </c>
      <c r="M75" s="298">
        <f t="shared" si="10"/>
        <v>0</v>
      </c>
      <c r="N75" s="301" t="str">
        <f t="shared" si="11"/>
        <v>43/49</v>
      </c>
      <c r="O75" s="139" t="str">
        <f>IF(M75&gt;=DashBoard!$O$11,"Pass","Echoue")</f>
        <v>Echoue</v>
      </c>
      <c r="AC75" s="338" t="str">
        <f t="shared" si="12"/>
        <v>B</v>
      </c>
    </row>
    <row r="76" spans="1:29" x14ac:dyDescent="0.25">
      <c r="A76" s="153"/>
      <c r="B76" s="8"/>
      <c r="C76" s="8"/>
      <c r="D76" s="23"/>
      <c r="E76" s="51"/>
      <c r="F76" s="111"/>
      <c r="G76" s="111"/>
      <c r="H76" s="111"/>
      <c r="I76" s="111"/>
      <c r="J76" s="111"/>
      <c r="K76" s="111"/>
      <c r="L76" s="312">
        <f t="shared" si="9"/>
        <v>0</v>
      </c>
      <c r="M76" s="298">
        <f t="shared" si="10"/>
        <v>0</v>
      </c>
      <c r="N76" s="301" t="str">
        <f t="shared" si="11"/>
        <v>43/49</v>
      </c>
      <c r="O76" s="139" t="str">
        <f>IF(M76&gt;=DashBoard!$O$11,"Pass","Echoue")</f>
        <v>Echoue</v>
      </c>
      <c r="AC76" s="338" t="str">
        <f t="shared" si="12"/>
        <v>B</v>
      </c>
    </row>
    <row r="77" spans="1:29" x14ac:dyDescent="0.25">
      <c r="A77" s="153"/>
      <c r="B77" s="8"/>
      <c r="C77" s="8"/>
      <c r="D77" s="23"/>
      <c r="E77" s="51"/>
      <c r="F77" s="111"/>
      <c r="G77" s="111"/>
      <c r="H77" s="111"/>
      <c r="I77" s="111"/>
      <c r="J77" s="111"/>
      <c r="K77" s="111"/>
      <c r="L77" s="312">
        <f t="shared" si="9"/>
        <v>0</v>
      </c>
      <c r="M77" s="298">
        <f t="shared" si="10"/>
        <v>0</v>
      </c>
      <c r="N77" s="301" t="str">
        <f t="shared" si="11"/>
        <v>43/49</v>
      </c>
      <c r="O77" s="139" t="str">
        <f>IF(M77&gt;=DashBoard!$O$11,"Pass","Echoue")</f>
        <v>Echoue</v>
      </c>
      <c r="AC77" s="338" t="str">
        <f t="shared" si="12"/>
        <v>B</v>
      </c>
    </row>
    <row r="78" spans="1:29" x14ac:dyDescent="0.25">
      <c r="A78" s="153"/>
      <c r="B78" s="8"/>
      <c r="C78" s="8"/>
      <c r="D78" s="23"/>
      <c r="E78" s="51"/>
      <c r="F78" s="111"/>
      <c r="G78" s="111"/>
      <c r="H78" s="111"/>
      <c r="I78" s="111"/>
      <c r="J78" s="111"/>
      <c r="K78" s="111"/>
      <c r="L78" s="312">
        <f t="shared" si="9"/>
        <v>0</v>
      </c>
      <c r="M78" s="298">
        <f t="shared" si="10"/>
        <v>0</v>
      </c>
      <c r="N78" s="301" t="str">
        <f t="shared" si="11"/>
        <v>43/49</v>
      </c>
      <c r="O78" s="139" t="str">
        <f>IF(M78&gt;=DashBoard!$O$11,"Pass","Echoue")</f>
        <v>Echoue</v>
      </c>
      <c r="AC78" s="338" t="str">
        <f t="shared" si="12"/>
        <v>B</v>
      </c>
    </row>
    <row r="79" spans="1:29" x14ac:dyDescent="0.25">
      <c r="A79" s="153"/>
      <c r="B79" s="8"/>
      <c r="C79" s="8"/>
      <c r="D79" s="23"/>
      <c r="E79" s="51"/>
      <c r="F79" s="111"/>
      <c r="G79" s="111"/>
      <c r="H79" s="111"/>
      <c r="I79" s="111"/>
      <c r="J79" s="111"/>
      <c r="K79" s="111"/>
      <c r="L79" s="312">
        <f t="shared" si="9"/>
        <v>0</v>
      </c>
      <c r="M79" s="298">
        <f t="shared" si="10"/>
        <v>0</v>
      </c>
      <c r="N79" s="301" t="str">
        <f t="shared" si="11"/>
        <v>43/49</v>
      </c>
      <c r="O79" s="139" t="str">
        <f>IF(M79&gt;=DashBoard!$O$11,"Pass","Echoue")</f>
        <v>Echoue</v>
      </c>
      <c r="AC79" s="338" t="str">
        <f t="shared" si="12"/>
        <v>B</v>
      </c>
    </row>
    <row r="80" spans="1:29" x14ac:dyDescent="0.25">
      <c r="A80" s="153"/>
      <c r="B80" s="8"/>
      <c r="C80" s="8"/>
      <c r="D80" s="23"/>
      <c r="E80" s="51"/>
      <c r="F80" s="111"/>
      <c r="G80" s="111"/>
      <c r="H80" s="111"/>
      <c r="I80" s="111"/>
      <c r="J80" s="111"/>
      <c r="K80" s="111"/>
      <c r="L80" s="312">
        <f t="shared" si="9"/>
        <v>0</v>
      </c>
      <c r="M80" s="298">
        <f t="shared" si="10"/>
        <v>0</v>
      </c>
      <c r="N80" s="301" t="str">
        <f t="shared" si="11"/>
        <v>43/49</v>
      </c>
      <c r="O80" s="139" t="str">
        <f>IF(M80&gt;=DashBoard!$O$11,"Pass","Echoue")</f>
        <v>Echoue</v>
      </c>
      <c r="AC80" s="338" t="str">
        <f t="shared" si="12"/>
        <v>B</v>
      </c>
    </row>
    <row r="81" spans="1:29" x14ac:dyDescent="0.25">
      <c r="A81" s="153"/>
      <c r="B81" s="8"/>
      <c r="C81" s="8"/>
      <c r="D81" s="23"/>
      <c r="E81" s="51"/>
      <c r="F81" s="111"/>
      <c r="G81" s="111"/>
      <c r="H81" s="111"/>
      <c r="I81" s="111"/>
      <c r="J81" s="111"/>
      <c r="K81" s="111"/>
      <c r="L81" s="312">
        <f t="shared" si="9"/>
        <v>0</v>
      </c>
      <c r="M81" s="298">
        <f t="shared" si="10"/>
        <v>0</v>
      </c>
      <c r="N81" s="301" t="str">
        <f t="shared" si="11"/>
        <v>43/49</v>
      </c>
      <c r="O81" s="139" t="str">
        <f>IF(M81&gt;=DashBoard!$O$11,"Pass","Echoue")</f>
        <v>Echoue</v>
      </c>
      <c r="AC81" s="338" t="str">
        <f t="shared" si="12"/>
        <v>B</v>
      </c>
    </row>
    <row r="82" spans="1:29" x14ac:dyDescent="0.25">
      <c r="A82" s="153"/>
      <c r="B82" s="8"/>
      <c r="C82" s="8"/>
      <c r="D82" s="23"/>
      <c r="E82" s="51"/>
      <c r="F82" s="111"/>
      <c r="G82" s="111"/>
      <c r="H82" s="111"/>
      <c r="I82" s="111"/>
      <c r="J82" s="111"/>
      <c r="K82" s="111"/>
      <c r="L82" s="312">
        <f t="shared" ref="L82:L122" si="13">SUM(F82:K82)</f>
        <v>0</v>
      </c>
      <c r="M82" s="298">
        <f t="shared" ref="M82:M122" si="14">(L82/$L$15)*100</f>
        <v>0</v>
      </c>
      <c r="N82" s="301" t="str">
        <f t="shared" ref="N82:N122" si="15">RANK(M82,M$17:M$122,0) &amp;"/"&amp; COUNTA($B$17:$B$122)</f>
        <v>43/49</v>
      </c>
      <c r="O82" s="139" t="str">
        <f>IF(M82&gt;=DashBoard!$O$11,"Pass","Echoue")</f>
        <v>Echoue</v>
      </c>
      <c r="AC82" s="338" t="str">
        <f t="shared" ref="AC82:AC122" si="16">IF(AA82&gt;60,"TB","B")</f>
        <v>B</v>
      </c>
    </row>
    <row r="83" spans="1:29" x14ac:dyDescent="0.25">
      <c r="A83" s="153"/>
      <c r="B83" s="8"/>
      <c r="C83" s="8"/>
      <c r="D83" s="23"/>
      <c r="E83" s="51"/>
      <c r="F83" s="111"/>
      <c r="G83" s="111"/>
      <c r="H83" s="111"/>
      <c r="I83" s="111"/>
      <c r="J83" s="111"/>
      <c r="K83" s="111"/>
      <c r="L83" s="312">
        <f t="shared" si="13"/>
        <v>0</v>
      </c>
      <c r="M83" s="298">
        <f t="shared" si="14"/>
        <v>0</v>
      </c>
      <c r="N83" s="301" t="str">
        <f t="shared" si="15"/>
        <v>43/49</v>
      </c>
      <c r="O83" s="139" t="str">
        <f>IF(M83&gt;=DashBoard!$O$11,"Pass","Echoue")</f>
        <v>Echoue</v>
      </c>
      <c r="AC83" s="338" t="str">
        <f t="shared" si="16"/>
        <v>B</v>
      </c>
    </row>
    <row r="84" spans="1:29" x14ac:dyDescent="0.25">
      <c r="A84" s="153"/>
      <c r="B84" s="8"/>
      <c r="C84" s="8"/>
      <c r="D84" s="23"/>
      <c r="E84" s="51"/>
      <c r="F84" s="111"/>
      <c r="G84" s="111"/>
      <c r="H84" s="111"/>
      <c r="I84" s="111"/>
      <c r="J84" s="111"/>
      <c r="K84" s="111"/>
      <c r="L84" s="312">
        <f t="shared" si="13"/>
        <v>0</v>
      </c>
      <c r="M84" s="298">
        <f t="shared" si="14"/>
        <v>0</v>
      </c>
      <c r="N84" s="301" t="str">
        <f t="shared" si="15"/>
        <v>43/49</v>
      </c>
      <c r="O84" s="139" t="str">
        <f>IF(M84&gt;=DashBoard!$O$11,"Pass","Echoue")</f>
        <v>Echoue</v>
      </c>
      <c r="AC84" s="338" t="str">
        <f t="shared" si="16"/>
        <v>B</v>
      </c>
    </row>
    <row r="85" spans="1:29" x14ac:dyDescent="0.25">
      <c r="A85" s="153"/>
      <c r="B85" s="8"/>
      <c r="C85" s="8"/>
      <c r="D85" s="23"/>
      <c r="E85" s="51"/>
      <c r="F85" s="111"/>
      <c r="G85" s="111"/>
      <c r="H85" s="111"/>
      <c r="I85" s="111"/>
      <c r="J85" s="111"/>
      <c r="K85" s="111"/>
      <c r="L85" s="312">
        <f t="shared" si="13"/>
        <v>0</v>
      </c>
      <c r="M85" s="298">
        <f t="shared" si="14"/>
        <v>0</v>
      </c>
      <c r="N85" s="301" t="str">
        <f t="shared" si="15"/>
        <v>43/49</v>
      </c>
      <c r="O85" s="139" t="str">
        <f>IF(M85&gt;=DashBoard!$O$11,"Pass","Echoue")</f>
        <v>Echoue</v>
      </c>
      <c r="AC85" s="338" t="str">
        <f t="shared" si="16"/>
        <v>B</v>
      </c>
    </row>
    <row r="86" spans="1:29" x14ac:dyDescent="0.25">
      <c r="A86" s="153"/>
      <c r="B86" s="8"/>
      <c r="C86" s="8"/>
      <c r="D86" s="23"/>
      <c r="E86" s="51"/>
      <c r="F86" s="111"/>
      <c r="G86" s="111"/>
      <c r="H86" s="111"/>
      <c r="I86" s="111"/>
      <c r="J86" s="111"/>
      <c r="K86" s="111"/>
      <c r="L86" s="312">
        <f t="shared" si="13"/>
        <v>0</v>
      </c>
      <c r="M86" s="298">
        <f t="shared" si="14"/>
        <v>0</v>
      </c>
      <c r="N86" s="301" t="str">
        <f t="shared" si="15"/>
        <v>43/49</v>
      </c>
      <c r="O86" s="139" t="str">
        <f>IF(M86&gt;=DashBoard!$O$11,"Pass","Echoue")</f>
        <v>Echoue</v>
      </c>
      <c r="AC86" s="338" t="str">
        <f t="shared" si="16"/>
        <v>B</v>
      </c>
    </row>
    <row r="87" spans="1:29" x14ac:dyDescent="0.25">
      <c r="A87" s="153"/>
      <c r="B87" s="8"/>
      <c r="C87" s="8"/>
      <c r="D87" s="23"/>
      <c r="E87" s="51"/>
      <c r="F87" s="111"/>
      <c r="G87" s="111"/>
      <c r="H87" s="111"/>
      <c r="I87" s="111"/>
      <c r="J87" s="111"/>
      <c r="K87" s="111"/>
      <c r="L87" s="312">
        <f t="shared" si="13"/>
        <v>0</v>
      </c>
      <c r="M87" s="298">
        <f t="shared" si="14"/>
        <v>0</v>
      </c>
      <c r="N87" s="301" t="str">
        <f t="shared" si="15"/>
        <v>43/49</v>
      </c>
      <c r="O87" s="139" t="str">
        <f>IF(M87&gt;=DashBoard!$O$11,"Pass","Echoue")</f>
        <v>Echoue</v>
      </c>
      <c r="AC87" s="338" t="str">
        <f t="shared" si="16"/>
        <v>B</v>
      </c>
    </row>
    <row r="88" spans="1:29" x14ac:dyDescent="0.25">
      <c r="A88" s="153"/>
      <c r="B88" s="8"/>
      <c r="C88" s="8"/>
      <c r="D88" s="23"/>
      <c r="E88" s="51"/>
      <c r="F88" s="111"/>
      <c r="G88" s="111"/>
      <c r="H88" s="111"/>
      <c r="I88" s="111"/>
      <c r="J88" s="111"/>
      <c r="K88" s="111"/>
      <c r="L88" s="312">
        <f t="shared" si="13"/>
        <v>0</v>
      </c>
      <c r="M88" s="298">
        <f t="shared" si="14"/>
        <v>0</v>
      </c>
      <c r="N88" s="301" t="str">
        <f t="shared" si="15"/>
        <v>43/49</v>
      </c>
      <c r="O88" s="139" t="str">
        <f>IF(M88&gt;=DashBoard!$O$11,"Pass","Echoue")</f>
        <v>Echoue</v>
      </c>
      <c r="AC88" s="338" t="str">
        <f t="shared" si="16"/>
        <v>B</v>
      </c>
    </row>
    <row r="89" spans="1:29" x14ac:dyDescent="0.25">
      <c r="A89" s="153"/>
      <c r="B89" s="8"/>
      <c r="C89" s="8"/>
      <c r="D89" s="23"/>
      <c r="E89" s="51"/>
      <c r="F89" s="111"/>
      <c r="G89" s="111"/>
      <c r="H89" s="111"/>
      <c r="I89" s="111"/>
      <c r="J89" s="111"/>
      <c r="K89" s="111"/>
      <c r="L89" s="312">
        <f t="shared" si="13"/>
        <v>0</v>
      </c>
      <c r="M89" s="298">
        <f t="shared" si="14"/>
        <v>0</v>
      </c>
      <c r="N89" s="301" t="str">
        <f t="shared" si="15"/>
        <v>43/49</v>
      </c>
      <c r="O89" s="139" t="str">
        <f>IF(M89&gt;=DashBoard!$O$11,"Pass","Echoue")</f>
        <v>Echoue</v>
      </c>
      <c r="AC89" s="338" t="str">
        <f t="shared" si="16"/>
        <v>B</v>
      </c>
    </row>
    <row r="90" spans="1:29" x14ac:dyDescent="0.25">
      <c r="A90" s="153"/>
      <c r="B90" s="8"/>
      <c r="C90" s="8"/>
      <c r="D90" s="23"/>
      <c r="E90" s="51"/>
      <c r="F90" s="111"/>
      <c r="G90" s="111"/>
      <c r="H90" s="111"/>
      <c r="I90" s="111"/>
      <c r="J90" s="111"/>
      <c r="K90" s="111"/>
      <c r="L90" s="312">
        <f t="shared" si="13"/>
        <v>0</v>
      </c>
      <c r="M90" s="298">
        <f t="shared" si="14"/>
        <v>0</v>
      </c>
      <c r="N90" s="301" t="str">
        <f t="shared" si="15"/>
        <v>43/49</v>
      </c>
      <c r="O90" s="139" t="str">
        <f>IF(M90&gt;=DashBoard!$O$11,"Pass","Echoue")</f>
        <v>Echoue</v>
      </c>
      <c r="AC90" s="338" t="str">
        <f t="shared" si="16"/>
        <v>B</v>
      </c>
    </row>
    <row r="91" spans="1:29" x14ac:dyDescent="0.25">
      <c r="A91" s="153"/>
      <c r="B91" s="8"/>
      <c r="C91" s="8"/>
      <c r="D91" s="23"/>
      <c r="E91" s="51"/>
      <c r="F91" s="111"/>
      <c r="G91" s="111"/>
      <c r="H91" s="111"/>
      <c r="I91" s="111"/>
      <c r="J91" s="111"/>
      <c r="K91" s="111"/>
      <c r="L91" s="312">
        <f t="shared" si="13"/>
        <v>0</v>
      </c>
      <c r="M91" s="298">
        <f t="shared" si="14"/>
        <v>0</v>
      </c>
      <c r="N91" s="301" t="str">
        <f t="shared" si="15"/>
        <v>43/49</v>
      </c>
      <c r="O91" s="139" t="str">
        <f>IF(M91&gt;=DashBoard!$O$11,"Pass","Echoue")</f>
        <v>Echoue</v>
      </c>
      <c r="AC91" s="338" t="str">
        <f t="shared" si="16"/>
        <v>B</v>
      </c>
    </row>
    <row r="92" spans="1:29" x14ac:dyDescent="0.25">
      <c r="A92" s="153"/>
      <c r="B92" s="8"/>
      <c r="C92" s="8"/>
      <c r="D92" s="23"/>
      <c r="E92" s="51"/>
      <c r="F92" s="111"/>
      <c r="G92" s="111"/>
      <c r="H92" s="111"/>
      <c r="I92" s="111"/>
      <c r="J92" s="111"/>
      <c r="K92" s="111"/>
      <c r="L92" s="312">
        <f t="shared" si="13"/>
        <v>0</v>
      </c>
      <c r="M92" s="298">
        <f t="shared" si="14"/>
        <v>0</v>
      </c>
      <c r="N92" s="301" t="str">
        <f t="shared" si="15"/>
        <v>43/49</v>
      </c>
      <c r="O92" s="139" t="str">
        <f>IF(M92&gt;=DashBoard!$O$11,"Pass","Echoue")</f>
        <v>Echoue</v>
      </c>
      <c r="AC92" s="338" t="str">
        <f t="shared" si="16"/>
        <v>B</v>
      </c>
    </row>
    <row r="93" spans="1:29" x14ac:dyDescent="0.25">
      <c r="A93" s="153"/>
      <c r="B93" s="8"/>
      <c r="C93" s="8"/>
      <c r="D93" s="23"/>
      <c r="E93" s="51"/>
      <c r="F93" s="111"/>
      <c r="G93" s="111"/>
      <c r="H93" s="111"/>
      <c r="I93" s="111"/>
      <c r="J93" s="111"/>
      <c r="K93" s="111"/>
      <c r="L93" s="312">
        <f t="shared" si="13"/>
        <v>0</v>
      </c>
      <c r="M93" s="298">
        <f t="shared" si="14"/>
        <v>0</v>
      </c>
      <c r="N93" s="301" t="str">
        <f t="shared" si="15"/>
        <v>43/49</v>
      </c>
      <c r="O93" s="139" t="str">
        <f>IF(M93&gt;=DashBoard!$O$11,"Pass","Echoue")</f>
        <v>Echoue</v>
      </c>
      <c r="AC93" s="338" t="str">
        <f t="shared" si="16"/>
        <v>B</v>
      </c>
    </row>
    <row r="94" spans="1:29" x14ac:dyDescent="0.25">
      <c r="A94" s="153"/>
      <c r="B94" s="8"/>
      <c r="C94" s="8"/>
      <c r="D94" s="23"/>
      <c r="E94" s="51"/>
      <c r="F94" s="111"/>
      <c r="G94" s="111"/>
      <c r="H94" s="111"/>
      <c r="I94" s="111"/>
      <c r="J94" s="111"/>
      <c r="K94" s="111"/>
      <c r="L94" s="312">
        <f t="shared" si="13"/>
        <v>0</v>
      </c>
      <c r="M94" s="298">
        <f t="shared" si="14"/>
        <v>0</v>
      </c>
      <c r="N94" s="301" t="str">
        <f t="shared" si="15"/>
        <v>43/49</v>
      </c>
      <c r="O94" s="139" t="str">
        <f>IF(M94&gt;=DashBoard!$O$11,"Pass","Echoue")</f>
        <v>Echoue</v>
      </c>
      <c r="AC94" s="338" t="str">
        <f t="shared" si="16"/>
        <v>B</v>
      </c>
    </row>
    <row r="95" spans="1:29" x14ac:dyDescent="0.25">
      <c r="A95" s="153"/>
      <c r="B95" s="8"/>
      <c r="C95" s="8"/>
      <c r="D95" s="23"/>
      <c r="E95" s="51"/>
      <c r="F95" s="111"/>
      <c r="G95" s="111"/>
      <c r="H95" s="111"/>
      <c r="I95" s="111"/>
      <c r="J95" s="111"/>
      <c r="K95" s="111"/>
      <c r="L95" s="312">
        <f t="shared" si="13"/>
        <v>0</v>
      </c>
      <c r="M95" s="298">
        <f t="shared" si="14"/>
        <v>0</v>
      </c>
      <c r="N95" s="301" t="str">
        <f t="shared" si="15"/>
        <v>43/49</v>
      </c>
      <c r="O95" s="139" t="str">
        <f>IF(M95&gt;=DashBoard!$O$11,"Pass","Echoue")</f>
        <v>Echoue</v>
      </c>
      <c r="AC95" s="338" t="str">
        <f t="shared" si="16"/>
        <v>B</v>
      </c>
    </row>
    <row r="96" spans="1:29" x14ac:dyDescent="0.25">
      <c r="A96" s="153"/>
      <c r="B96" s="8"/>
      <c r="C96" s="8"/>
      <c r="D96" s="23"/>
      <c r="E96" s="51"/>
      <c r="F96" s="111"/>
      <c r="G96" s="111"/>
      <c r="H96" s="111"/>
      <c r="I96" s="111"/>
      <c r="J96" s="111"/>
      <c r="K96" s="111"/>
      <c r="L96" s="312">
        <f t="shared" si="13"/>
        <v>0</v>
      </c>
      <c r="M96" s="298">
        <f t="shared" si="14"/>
        <v>0</v>
      </c>
      <c r="N96" s="301" t="str">
        <f t="shared" si="15"/>
        <v>43/49</v>
      </c>
      <c r="O96" s="139" t="str">
        <f>IF(M96&gt;=DashBoard!$O$11,"Pass","Echoue")</f>
        <v>Echoue</v>
      </c>
      <c r="AC96" s="338" t="str">
        <f t="shared" si="16"/>
        <v>B</v>
      </c>
    </row>
    <row r="97" spans="1:29" x14ac:dyDescent="0.25">
      <c r="A97" s="153"/>
      <c r="B97" s="8"/>
      <c r="C97" s="8"/>
      <c r="D97" s="23"/>
      <c r="E97" s="51"/>
      <c r="F97" s="111"/>
      <c r="G97" s="111"/>
      <c r="H97" s="111"/>
      <c r="I97" s="111"/>
      <c r="J97" s="111"/>
      <c r="K97" s="111"/>
      <c r="L97" s="312">
        <f t="shared" si="13"/>
        <v>0</v>
      </c>
      <c r="M97" s="298">
        <f t="shared" si="14"/>
        <v>0</v>
      </c>
      <c r="N97" s="301" t="str">
        <f t="shared" si="15"/>
        <v>43/49</v>
      </c>
      <c r="O97" s="139" t="str">
        <f>IF(M97&gt;=DashBoard!$O$11,"Pass","Echoue")</f>
        <v>Echoue</v>
      </c>
      <c r="AC97" s="338" t="str">
        <f t="shared" si="16"/>
        <v>B</v>
      </c>
    </row>
    <row r="98" spans="1:29" x14ac:dyDescent="0.25">
      <c r="A98" s="153"/>
      <c r="B98" s="8"/>
      <c r="C98" s="8"/>
      <c r="D98" s="23"/>
      <c r="E98" s="51"/>
      <c r="F98" s="111"/>
      <c r="G98" s="111"/>
      <c r="H98" s="111"/>
      <c r="I98" s="111"/>
      <c r="J98" s="111"/>
      <c r="K98" s="111"/>
      <c r="L98" s="312">
        <f t="shared" si="13"/>
        <v>0</v>
      </c>
      <c r="M98" s="298">
        <f t="shared" si="14"/>
        <v>0</v>
      </c>
      <c r="N98" s="301" t="str">
        <f t="shared" si="15"/>
        <v>43/49</v>
      </c>
      <c r="O98" s="139" t="str">
        <f>IF(M98&gt;=DashBoard!$O$11,"Pass","Echoue")</f>
        <v>Echoue</v>
      </c>
      <c r="AC98" s="338" t="str">
        <f t="shared" si="16"/>
        <v>B</v>
      </c>
    </row>
    <row r="99" spans="1:29" x14ac:dyDescent="0.25">
      <c r="A99" s="153"/>
      <c r="B99" s="8"/>
      <c r="C99" s="8"/>
      <c r="D99" s="23"/>
      <c r="E99" s="51"/>
      <c r="F99" s="111"/>
      <c r="G99" s="111"/>
      <c r="H99" s="111"/>
      <c r="I99" s="111"/>
      <c r="J99" s="111"/>
      <c r="K99" s="111"/>
      <c r="L99" s="312">
        <f t="shared" si="13"/>
        <v>0</v>
      </c>
      <c r="M99" s="298">
        <f t="shared" si="14"/>
        <v>0</v>
      </c>
      <c r="N99" s="301" t="str">
        <f t="shared" si="15"/>
        <v>43/49</v>
      </c>
      <c r="O99" s="139" t="str">
        <f>IF(M99&gt;=DashBoard!$O$11,"Pass","Echoue")</f>
        <v>Echoue</v>
      </c>
      <c r="AC99" s="338" t="str">
        <f t="shared" si="16"/>
        <v>B</v>
      </c>
    </row>
    <row r="100" spans="1:29" x14ac:dyDescent="0.25">
      <c r="A100" s="153"/>
      <c r="B100" s="8"/>
      <c r="C100" s="8"/>
      <c r="D100" s="23"/>
      <c r="E100" s="51"/>
      <c r="F100" s="111"/>
      <c r="G100" s="111"/>
      <c r="H100" s="111"/>
      <c r="I100" s="111"/>
      <c r="J100" s="111"/>
      <c r="K100" s="111"/>
      <c r="L100" s="312">
        <f t="shared" si="13"/>
        <v>0</v>
      </c>
      <c r="M100" s="298">
        <f t="shared" si="14"/>
        <v>0</v>
      </c>
      <c r="N100" s="301" t="str">
        <f t="shared" si="15"/>
        <v>43/49</v>
      </c>
      <c r="O100" s="139" t="str">
        <f>IF(M100&gt;=DashBoard!$O$11,"Pass","Echoue")</f>
        <v>Echoue</v>
      </c>
      <c r="AC100" s="338" t="str">
        <f t="shared" si="16"/>
        <v>B</v>
      </c>
    </row>
    <row r="101" spans="1:29" x14ac:dyDescent="0.25">
      <c r="A101" s="153"/>
      <c r="B101" s="8"/>
      <c r="C101" s="8"/>
      <c r="D101" s="23"/>
      <c r="E101" s="51"/>
      <c r="F101" s="111"/>
      <c r="G101" s="111"/>
      <c r="H101" s="111"/>
      <c r="I101" s="111"/>
      <c r="J101" s="111"/>
      <c r="K101" s="111"/>
      <c r="L101" s="312">
        <f t="shared" si="13"/>
        <v>0</v>
      </c>
      <c r="M101" s="298">
        <f t="shared" si="14"/>
        <v>0</v>
      </c>
      <c r="N101" s="301" t="str">
        <f t="shared" si="15"/>
        <v>43/49</v>
      </c>
      <c r="O101" s="139" t="str">
        <f>IF(M101&gt;=DashBoard!$O$11,"Pass","Echoue")</f>
        <v>Echoue</v>
      </c>
      <c r="AC101" s="338" t="str">
        <f t="shared" si="16"/>
        <v>B</v>
      </c>
    </row>
    <row r="102" spans="1:29" x14ac:dyDescent="0.25">
      <c r="A102" s="153"/>
      <c r="B102" s="8"/>
      <c r="C102" s="8"/>
      <c r="D102" s="23"/>
      <c r="E102" s="51"/>
      <c r="F102" s="111"/>
      <c r="G102" s="111"/>
      <c r="H102" s="111"/>
      <c r="I102" s="111"/>
      <c r="J102" s="111"/>
      <c r="K102" s="111"/>
      <c r="L102" s="312">
        <f t="shared" si="13"/>
        <v>0</v>
      </c>
      <c r="M102" s="298">
        <f t="shared" si="14"/>
        <v>0</v>
      </c>
      <c r="N102" s="301" t="str">
        <f t="shared" si="15"/>
        <v>43/49</v>
      </c>
      <c r="O102" s="139" t="str">
        <f>IF(M102&gt;=DashBoard!$O$11,"Pass","Echoue")</f>
        <v>Echoue</v>
      </c>
      <c r="AC102" s="338" t="str">
        <f t="shared" si="16"/>
        <v>B</v>
      </c>
    </row>
    <row r="103" spans="1:29" x14ac:dyDescent="0.25">
      <c r="A103" s="153"/>
      <c r="B103" s="8"/>
      <c r="C103" s="8"/>
      <c r="D103" s="23"/>
      <c r="E103" s="51"/>
      <c r="F103" s="111"/>
      <c r="G103" s="111"/>
      <c r="H103" s="111"/>
      <c r="I103" s="111"/>
      <c r="J103" s="111"/>
      <c r="K103" s="111"/>
      <c r="L103" s="312">
        <f t="shared" si="13"/>
        <v>0</v>
      </c>
      <c r="M103" s="298">
        <f t="shared" si="14"/>
        <v>0</v>
      </c>
      <c r="N103" s="301" t="str">
        <f t="shared" si="15"/>
        <v>43/49</v>
      </c>
      <c r="O103" s="139" t="str">
        <f>IF(M103&gt;=DashBoard!$O$11,"Pass","Echoue")</f>
        <v>Echoue</v>
      </c>
      <c r="AC103" s="338" t="str">
        <f t="shared" si="16"/>
        <v>B</v>
      </c>
    </row>
    <row r="104" spans="1:29" x14ac:dyDescent="0.25">
      <c r="A104" s="153"/>
      <c r="B104" s="8"/>
      <c r="C104" s="8"/>
      <c r="D104" s="23"/>
      <c r="E104" s="51"/>
      <c r="F104" s="111"/>
      <c r="G104" s="111"/>
      <c r="H104" s="111"/>
      <c r="I104" s="111"/>
      <c r="J104" s="111"/>
      <c r="K104" s="111"/>
      <c r="L104" s="312">
        <f t="shared" si="13"/>
        <v>0</v>
      </c>
      <c r="M104" s="298">
        <f t="shared" si="14"/>
        <v>0</v>
      </c>
      <c r="N104" s="301" t="str">
        <f t="shared" si="15"/>
        <v>43/49</v>
      </c>
      <c r="O104" s="139" t="str">
        <f>IF(M104&gt;=DashBoard!$O$11,"Pass","Echoue")</f>
        <v>Echoue</v>
      </c>
      <c r="AC104" s="338" t="str">
        <f t="shared" si="16"/>
        <v>B</v>
      </c>
    </row>
    <row r="105" spans="1:29" x14ac:dyDescent="0.25">
      <c r="A105" s="153"/>
      <c r="B105" s="8"/>
      <c r="C105" s="8"/>
      <c r="D105" s="23"/>
      <c r="E105" s="51"/>
      <c r="F105" s="111"/>
      <c r="G105" s="111"/>
      <c r="H105" s="111"/>
      <c r="I105" s="111"/>
      <c r="J105" s="111"/>
      <c r="K105" s="111"/>
      <c r="L105" s="312">
        <f t="shared" si="13"/>
        <v>0</v>
      </c>
      <c r="M105" s="298">
        <f t="shared" si="14"/>
        <v>0</v>
      </c>
      <c r="N105" s="301" t="str">
        <f t="shared" si="15"/>
        <v>43/49</v>
      </c>
      <c r="O105" s="139" t="str">
        <f>IF(M105&gt;=DashBoard!$O$11,"Pass","Echoue")</f>
        <v>Echoue</v>
      </c>
      <c r="AC105" s="338" t="str">
        <f t="shared" si="16"/>
        <v>B</v>
      </c>
    </row>
    <row r="106" spans="1:29" x14ac:dyDescent="0.25">
      <c r="A106" s="153"/>
      <c r="B106" s="8"/>
      <c r="C106" s="8"/>
      <c r="D106" s="23"/>
      <c r="E106" s="51"/>
      <c r="F106" s="111"/>
      <c r="G106" s="111"/>
      <c r="H106" s="111"/>
      <c r="I106" s="111"/>
      <c r="J106" s="111"/>
      <c r="K106" s="111"/>
      <c r="L106" s="312">
        <f t="shared" si="13"/>
        <v>0</v>
      </c>
      <c r="M106" s="298">
        <f t="shared" si="14"/>
        <v>0</v>
      </c>
      <c r="N106" s="301" t="str">
        <f t="shared" si="15"/>
        <v>43/49</v>
      </c>
      <c r="O106" s="139" t="str">
        <f>IF(M106&gt;=DashBoard!$O$11,"Pass","Echoue")</f>
        <v>Echoue</v>
      </c>
      <c r="AC106" s="338" t="str">
        <f t="shared" si="16"/>
        <v>B</v>
      </c>
    </row>
    <row r="107" spans="1:29" x14ac:dyDescent="0.25">
      <c r="A107" s="153"/>
      <c r="B107" s="8"/>
      <c r="C107" s="8"/>
      <c r="D107" s="23"/>
      <c r="E107" s="51"/>
      <c r="F107" s="111"/>
      <c r="G107" s="111"/>
      <c r="H107" s="111"/>
      <c r="I107" s="111"/>
      <c r="J107" s="111"/>
      <c r="K107" s="111"/>
      <c r="L107" s="312">
        <f t="shared" si="13"/>
        <v>0</v>
      </c>
      <c r="M107" s="298">
        <f t="shared" si="14"/>
        <v>0</v>
      </c>
      <c r="N107" s="301" t="str">
        <f t="shared" si="15"/>
        <v>43/49</v>
      </c>
      <c r="O107" s="139" t="str">
        <f>IF(M107&gt;=DashBoard!$O$11,"Pass","Echoue")</f>
        <v>Echoue</v>
      </c>
      <c r="AC107" s="338" t="str">
        <f t="shared" si="16"/>
        <v>B</v>
      </c>
    </row>
    <row r="108" spans="1:29" x14ac:dyDescent="0.25">
      <c r="A108" s="153"/>
      <c r="B108" s="8"/>
      <c r="C108" s="8"/>
      <c r="D108" s="23"/>
      <c r="E108" s="51"/>
      <c r="F108" s="111"/>
      <c r="G108" s="111"/>
      <c r="H108" s="111"/>
      <c r="I108" s="111"/>
      <c r="J108" s="111"/>
      <c r="K108" s="111"/>
      <c r="L108" s="312">
        <f t="shared" si="13"/>
        <v>0</v>
      </c>
      <c r="M108" s="298">
        <f t="shared" si="14"/>
        <v>0</v>
      </c>
      <c r="N108" s="301" t="str">
        <f t="shared" si="15"/>
        <v>43/49</v>
      </c>
      <c r="O108" s="139" t="str">
        <f>IF(M108&gt;=DashBoard!$O$11,"Pass","Echoue")</f>
        <v>Echoue</v>
      </c>
      <c r="AC108" s="338" t="str">
        <f t="shared" si="16"/>
        <v>B</v>
      </c>
    </row>
    <row r="109" spans="1:29" x14ac:dyDescent="0.25">
      <c r="A109" s="153"/>
      <c r="B109" s="8"/>
      <c r="C109" s="8"/>
      <c r="D109" s="23"/>
      <c r="E109" s="51"/>
      <c r="F109" s="111"/>
      <c r="G109" s="111"/>
      <c r="H109" s="111"/>
      <c r="I109" s="111"/>
      <c r="J109" s="111"/>
      <c r="K109" s="111"/>
      <c r="L109" s="312">
        <f t="shared" si="13"/>
        <v>0</v>
      </c>
      <c r="M109" s="298">
        <f t="shared" si="14"/>
        <v>0</v>
      </c>
      <c r="N109" s="301" t="str">
        <f t="shared" si="15"/>
        <v>43/49</v>
      </c>
      <c r="O109" s="139" t="str">
        <f>IF(M109&gt;=DashBoard!$O$11,"Pass","Echoue")</f>
        <v>Echoue</v>
      </c>
      <c r="AC109" s="338" t="str">
        <f t="shared" si="16"/>
        <v>B</v>
      </c>
    </row>
    <row r="110" spans="1:29" x14ac:dyDescent="0.25">
      <c r="A110" s="153"/>
      <c r="B110" s="8"/>
      <c r="C110" s="8"/>
      <c r="D110" s="23"/>
      <c r="E110" s="51"/>
      <c r="F110" s="111"/>
      <c r="G110" s="111"/>
      <c r="H110" s="111"/>
      <c r="I110" s="111"/>
      <c r="J110" s="111"/>
      <c r="K110" s="111"/>
      <c r="L110" s="312">
        <f t="shared" si="13"/>
        <v>0</v>
      </c>
      <c r="M110" s="298">
        <f t="shared" si="14"/>
        <v>0</v>
      </c>
      <c r="N110" s="301" t="str">
        <f t="shared" si="15"/>
        <v>43/49</v>
      </c>
      <c r="O110" s="139" t="str">
        <f>IF(M110&gt;=DashBoard!$O$11,"Pass","Echoue")</f>
        <v>Echoue</v>
      </c>
      <c r="AC110" s="338" t="str">
        <f t="shared" si="16"/>
        <v>B</v>
      </c>
    </row>
    <row r="111" spans="1:29" x14ac:dyDescent="0.25">
      <c r="A111" s="153"/>
      <c r="B111" s="8"/>
      <c r="C111" s="8"/>
      <c r="D111" s="23"/>
      <c r="E111" s="51"/>
      <c r="F111" s="111"/>
      <c r="G111" s="111"/>
      <c r="H111" s="111"/>
      <c r="I111" s="111"/>
      <c r="J111" s="111"/>
      <c r="K111" s="111"/>
      <c r="L111" s="312">
        <f t="shared" si="13"/>
        <v>0</v>
      </c>
      <c r="M111" s="298">
        <f t="shared" si="14"/>
        <v>0</v>
      </c>
      <c r="N111" s="301" t="str">
        <f t="shared" si="15"/>
        <v>43/49</v>
      </c>
      <c r="O111" s="139" t="str">
        <f>IF(M111&gt;=DashBoard!$O$11,"Pass","Echoue")</f>
        <v>Echoue</v>
      </c>
      <c r="AC111" s="338" t="str">
        <f t="shared" si="16"/>
        <v>B</v>
      </c>
    </row>
    <row r="112" spans="1:29" x14ac:dyDescent="0.25">
      <c r="A112" s="153"/>
      <c r="B112" s="8"/>
      <c r="C112" s="8"/>
      <c r="D112" s="23"/>
      <c r="E112" s="51"/>
      <c r="F112" s="111"/>
      <c r="G112" s="111"/>
      <c r="H112" s="111"/>
      <c r="I112" s="111"/>
      <c r="J112" s="111"/>
      <c r="K112" s="111"/>
      <c r="L112" s="312">
        <f t="shared" si="13"/>
        <v>0</v>
      </c>
      <c r="M112" s="298">
        <f t="shared" si="14"/>
        <v>0</v>
      </c>
      <c r="N112" s="301" t="str">
        <f t="shared" si="15"/>
        <v>43/49</v>
      </c>
      <c r="O112" s="139" t="str">
        <f>IF(M112&gt;=DashBoard!$O$11,"Pass","Echoue")</f>
        <v>Echoue</v>
      </c>
      <c r="AC112" s="338" t="str">
        <f t="shared" si="16"/>
        <v>B</v>
      </c>
    </row>
    <row r="113" spans="1:29" x14ac:dyDescent="0.25">
      <c r="A113" s="153"/>
      <c r="B113" s="8"/>
      <c r="C113" s="8"/>
      <c r="D113" s="23"/>
      <c r="E113" s="51"/>
      <c r="F113" s="111"/>
      <c r="G113" s="111"/>
      <c r="H113" s="111"/>
      <c r="I113" s="111"/>
      <c r="J113" s="111"/>
      <c r="K113" s="111"/>
      <c r="L113" s="312">
        <f t="shared" si="13"/>
        <v>0</v>
      </c>
      <c r="M113" s="298">
        <f t="shared" si="14"/>
        <v>0</v>
      </c>
      <c r="N113" s="301" t="str">
        <f t="shared" si="15"/>
        <v>43/49</v>
      </c>
      <c r="O113" s="139" t="str">
        <f>IF(M113&gt;=DashBoard!$O$11,"Pass","Echoue")</f>
        <v>Echoue</v>
      </c>
      <c r="AC113" s="338" t="str">
        <f t="shared" si="16"/>
        <v>B</v>
      </c>
    </row>
    <row r="114" spans="1:29" x14ac:dyDescent="0.25">
      <c r="A114" s="153"/>
      <c r="B114" s="8"/>
      <c r="C114" s="8"/>
      <c r="D114" s="23"/>
      <c r="E114" s="51"/>
      <c r="F114" s="111"/>
      <c r="G114" s="111"/>
      <c r="H114" s="111"/>
      <c r="I114" s="111"/>
      <c r="J114" s="111"/>
      <c r="K114" s="111"/>
      <c r="L114" s="312">
        <f t="shared" si="13"/>
        <v>0</v>
      </c>
      <c r="M114" s="298">
        <f t="shared" si="14"/>
        <v>0</v>
      </c>
      <c r="N114" s="301" t="str">
        <f t="shared" si="15"/>
        <v>43/49</v>
      </c>
      <c r="O114" s="139" t="str">
        <f>IF(M114&gt;=DashBoard!$O$11,"Pass","Echoue")</f>
        <v>Echoue</v>
      </c>
      <c r="AC114" s="338" t="str">
        <f t="shared" si="16"/>
        <v>B</v>
      </c>
    </row>
    <row r="115" spans="1:29" x14ac:dyDescent="0.25">
      <c r="A115" s="153"/>
      <c r="B115" s="8"/>
      <c r="C115" s="8"/>
      <c r="D115" s="23"/>
      <c r="E115" s="51"/>
      <c r="F115" s="111"/>
      <c r="G115" s="111"/>
      <c r="H115" s="111"/>
      <c r="I115" s="111"/>
      <c r="J115" s="111"/>
      <c r="K115" s="111"/>
      <c r="L115" s="312">
        <f t="shared" si="13"/>
        <v>0</v>
      </c>
      <c r="M115" s="298">
        <f t="shared" si="14"/>
        <v>0</v>
      </c>
      <c r="N115" s="301" t="str">
        <f t="shared" si="15"/>
        <v>43/49</v>
      </c>
      <c r="O115" s="139" t="str">
        <f>IF(M115&gt;=DashBoard!$O$11,"Pass","Echoue")</f>
        <v>Echoue</v>
      </c>
      <c r="AC115" s="338" t="str">
        <f t="shared" si="16"/>
        <v>B</v>
      </c>
    </row>
    <row r="116" spans="1:29" x14ac:dyDescent="0.25">
      <c r="A116" s="153"/>
      <c r="B116" s="8"/>
      <c r="C116" s="8"/>
      <c r="D116" s="23"/>
      <c r="E116" s="51"/>
      <c r="F116" s="111"/>
      <c r="G116" s="111"/>
      <c r="H116" s="111"/>
      <c r="I116" s="111"/>
      <c r="J116" s="111"/>
      <c r="K116" s="111"/>
      <c r="L116" s="312">
        <f t="shared" si="13"/>
        <v>0</v>
      </c>
      <c r="M116" s="298">
        <f t="shared" si="14"/>
        <v>0</v>
      </c>
      <c r="N116" s="301" t="str">
        <f t="shared" si="15"/>
        <v>43/49</v>
      </c>
      <c r="O116" s="139" t="str">
        <f>IF(M116&gt;=DashBoard!$O$11,"Pass","Echoue")</f>
        <v>Echoue</v>
      </c>
      <c r="AC116" s="338" t="str">
        <f t="shared" si="16"/>
        <v>B</v>
      </c>
    </row>
    <row r="117" spans="1:29" x14ac:dyDescent="0.25">
      <c r="A117" s="153"/>
      <c r="B117" s="8"/>
      <c r="C117" s="8"/>
      <c r="D117" s="23"/>
      <c r="E117" s="51"/>
      <c r="F117" s="111"/>
      <c r="G117" s="111"/>
      <c r="H117" s="111"/>
      <c r="I117" s="111"/>
      <c r="J117" s="111"/>
      <c r="K117" s="111"/>
      <c r="L117" s="312">
        <f t="shared" si="13"/>
        <v>0</v>
      </c>
      <c r="M117" s="298">
        <f t="shared" si="14"/>
        <v>0</v>
      </c>
      <c r="N117" s="301" t="str">
        <f t="shared" si="15"/>
        <v>43/49</v>
      </c>
      <c r="O117" s="139" t="str">
        <f>IF(M117&gt;=DashBoard!$O$11,"Pass","Echoue")</f>
        <v>Echoue</v>
      </c>
      <c r="AC117" s="338" t="str">
        <f t="shared" si="16"/>
        <v>B</v>
      </c>
    </row>
    <row r="118" spans="1:29" x14ac:dyDescent="0.25">
      <c r="A118" s="153"/>
      <c r="B118" s="8"/>
      <c r="C118" s="8"/>
      <c r="D118" s="23"/>
      <c r="E118" s="51"/>
      <c r="F118" s="111"/>
      <c r="G118" s="111"/>
      <c r="H118" s="111"/>
      <c r="I118" s="111"/>
      <c r="J118" s="111"/>
      <c r="K118" s="111"/>
      <c r="L118" s="312">
        <f t="shared" si="13"/>
        <v>0</v>
      </c>
      <c r="M118" s="298">
        <f t="shared" si="14"/>
        <v>0</v>
      </c>
      <c r="N118" s="301" t="str">
        <f t="shared" si="15"/>
        <v>43/49</v>
      </c>
      <c r="O118" s="139" t="str">
        <f>IF(M118&gt;=DashBoard!$O$11,"Pass","Echoue")</f>
        <v>Echoue</v>
      </c>
      <c r="AC118" s="338" t="str">
        <f t="shared" si="16"/>
        <v>B</v>
      </c>
    </row>
    <row r="119" spans="1:29" x14ac:dyDescent="0.25">
      <c r="A119" s="153"/>
      <c r="B119" s="8"/>
      <c r="C119" s="8"/>
      <c r="D119" s="23"/>
      <c r="E119" s="51"/>
      <c r="F119" s="111"/>
      <c r="G119" s="111"/>
      <c r="H119" s="111"/>
      <c r="I119" s="111"/>
      <c r="J119" s="111"/>
      <c r="K119" s="111"/>
      <c r="L119" s="312">
        <f t="shared" si="13"/>
        <v>0</v>
      </c>
      <c r="M119" s="298">
        <f t="shared" si="14"/>
        <v>0</v>
      </c>
      <c r="N119" s="301" t="str">
        <f t="shared" si="15"/>
        <v>43/49</v>
      </c>
      <c r="O119" s="139" t="str">
        <f>IF(M119&gt;=DashBoard!$O$11,"Pass","Echoue")</f>
        <v>Echoue</v>
      </c>
      <c r="AC119" s="338" t="str">
        <f t="shared" si="16"/>
        <v>B</v>
      </c>
    </row>
    <row r="120" spans="1:29" x14ac:dyDescent="0.25">
      <c r="A120" s="153"/>
      <c r="B120" s="8"/>
      <c r="C120" s="8"/>
      <c r="D120" s="23"/>
      <c r="E120" s="51"/>
      <c r="F120" s="111"/>
      <c r="G120" s="111"/>
      <c r="H120" s="111"/>
      <c r="I120" s="111"/>
      <c r="J120" s="111"/>
      <c r="K120" s="111"/>
      <c r="L120" s="312">
        <f t="shared" si="13"/>
        <v>0</v>
      </c>
      <c r="M120" s="298">
        <f t="shared" si="14"/>
        <v>0</v>
      </c>
      <c r="N120" s="301" t="str">
        <f t="shared" si="15"/>
        <v>43/49</v>
      </c>
      <c r="O120" s="139" t="str">
        <f>IF(M120&gt;=DashBoard!$O$11,"Pass","Echoue")</f>
        <v>Echoue</v>
      </c>
      <c r="AC120" s="338" t="str">
        <f t="shared" si="16"/>
        <v>B</v>
      </c>
    </row>
    <row r="121" spans="1:29" x14ac:dyDescent="0.25">
      <c r="A121" s="153"/>
      <c r="B121" s="8"/>
      <c r="C121" s="8"/>
      <c r="D121" s="23"/>
      <c r="E121" s="51"/>
      <c r="F121" s="111"/>
      <c r="G121" s="111"/>
      <c r="H121" s="111"/>
      <c r="I121" s="111"/>
      <c r="J121" s="111"/>
      <c r="K121" s="111"/>
      <c r="L121" s="312">
        <f t="shared" si="13"/>
        <v>0</v>
      </c>
      <c r="M121" s="298">
        <f t="shared" si="14"/>
        <v>0</v>
      </c>
      <c r="N121" s="301" t="str">
        <f t="shared" si="15"/>
        <v>43/49</v>
      </c>
      <c r="O121" s="139" t="str">
        <f>IF(M121&gt;=DashBoard!$O$11,"Pass","Echoue")</f>
        <v>Echoue</v>
      </c>
      <c r="AC121" s="338" t="str">
        <f t="shared" si="16"/>
        <v>B</v>
      </c>
    </row>
    <row r="122" spans="1:29" ht="15.75" thickBot="1" x14ac:dyDescent="0.3">
      <c r="A122" s="154"/>
      <c r="B122" s="9"/>
      <c r="C122" s="9"/>
      <c r="D122" s="25"/>
      <c r="E122" s="44"/>
      <c r="F122" s="115"/>
      <c r="G122" s="115"/>
      <c r="H122" s="115"/>
      <c r="I122" s="111"/>
      <c r="J122" s="111"/>
      <c r="K122" s="111"/>
      <c r="L122" s="312">
        <f t="shared" si="13"/>
        <v>0</v>
      </c>
      <c r="M122" s="299">
        <f t="shared" si="14"/>
        <v>0</v>
      </c>
      <c r="N122" s="301" t="str">
        <f t="shared" si="15"/>
        <v>43/49</v>
      </c>
      <c r="O122" s="139" t="str">
        <f>IF(M122&gt;=DashBoard!$O$11,"Pass","Echoue")</f>
        <v>Echoue</v>
      </c>
      <c r="AC122" s="338" t="str">
        <f t="shared" si="16"/>
        <v>B</v>
      </c>
    </row>
  </sheetData>
  <sheetProtection selectLockedCells="1"/>
  <phoneticPr fontId="2" type="noConversion"/>
  <conditionalFormatting sqref="F17:F122">
    <cfRule type="cellIs" dxfId="4" priority="4" operator="lessThan">
      <formula>10</formula>
    </cfRule>
  </conditionalFormatting>
  <conditionalFormatting sqref="G17:K122">
    <cfRule type="cellIs" dxfId="3" priority="3" operator="lessThan">
      <formula>5</formula>
    </cfRule>
  </conditionalFormatting>
  <conditionalFormatting sqref="E17:E122">
    <cfRule type="containsText" dxfId="2" priority="1" operator="containsText" text="Abandon">
      <formula>NOT(ISERROR(SEARCH("Abandon",E17)))</formula>
    </cfRule>
    <cfRule type="expression" dxfId="1" priority="2">
      <formula>E17 = "Abandon"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C0C79-5F73-4941-A567-1BA4D1C1CDB5}">
  <sheetPr codeName="Feuil5"/>
  <dimension ref="C2:X63"/>
  <sheetViews>
    <sheetView topLeftCell="A27" zoomScaleNormal="100" zoomScaleSheetLayoutView="80" workbookViewId="0">
      <selection activeCell="U3" sqref="U3"/>
    </sheetView>
  </sheetViews>
  <sheetFormatPr baseColWidth="10" defaultColWidth="11.42578125" defaultRowHeight="15" x14ac:dyDescent="0.25"/>
  <cols>
    <col min="1" max="2" width="11.42578125" style="155"/>
    <col min="3" max="3" width="3.28515625" style="155" customWidth="1"/>
    <col min="4" max="4" width="28.7109375" style="155" customWidth="1"/>
    <col min="5" max="5" width="5.85546875" style="156" customWidth="1"/>
    <col min="6" max="7" width="5.7109375" style="155" customWidth="1"/>
    <col min="8" max="9" width="5.7109375" style="157" customWidth="1"/>
    <col min="10" max="11" width="5.7109375" style="155" customWidth="1"/>
    <col min="12" max="12" width="5.7109375" style="157" customWidth="1"/>
    <col min="13" max="13" width="5.7109375" style="155" customWidth="1"/>
    <col min="14" max="14" width="6.140625" style="155" customWidth="1"/>
    <col min="15" max="15" width="9.140625" style="155" customWidth="1"/>
    <col min="16" max="16" width="15.7109375" style="155" customWidth="1"/>
    <col min="17" max="17" width="3" style="155" customWidth="1"/>
    <col min="18" max="18" width="7" style="155" customWidth="1"/>
    <col min="19" max="19" width="4.5703125" style="155" customWidth="1"/>
    <col min="20" max="20" width="18.140625" style="155" customWidth="1"/>
    <col min="21" max="21" width="11.42578125" style="155"/>
    <col min="22" max="22" width="12" style="155" customWidth="1"/>
    <col min="23" max="23" width="7.42578125" style="155" customWidth="1"/>
    <col min="24" max="24" width="4.28515625" style="155" customWidth="1"/>
    <col min="25" max="16384" width="11.42578125" style="155"/>
  </cols>
  <sheetData>
    <row r="2" spans="4:24" ht="15.75" thickBot="1" x14ac:dyDescent="0.3"/>
    <row r="3" spans="4:24" ht="14.25" x14ac:dyDescent="0.2">
      <c r="D3" s="541"/>
      <c r="E3" s="542"/>
      <c r="F3" s="542"/>
      <c r="G3" s="542"/>
      <c r="H3" s="542"/>
      <c r="I3" s="542"/>
      <c r="J3" s="542"/>
      <c r="K3" s="542"/>
      <c r="L3" s="542"/>
      <c r="M3" s="542"/>
      <c r="N3" s="542"/>
      <c r="O3" s="542"/>
      <c r="P3" s="543"/>
    </row>
    <row r="4" spans="4:24" x14ac:dyDescent="0.25">
      <c r="D4" s="481" t="s">
        <v>195</v>
      </c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3"/>
    </row>
    <row r="5" spans="4:24" ht="16.5" thickBot="1" x14ac:dyDescent="0.3">
      <c r="D5" s="544" t="s">
        <v>196</v>
      </c>
      <c r="E5" s="545"/>
      <c r="F5" s="545"/>
      <c r="G5" s="545"/>
      <c r="H5" s="545"/>
      <c r="I5" s="545"/>
      <c r="J5" s="545"/>
      <c r="K5" s="545"/>
      <c r="L5" s="545"/>
      <c r="M5" s="545"/>
      <c r="N5" s="545"/>
      <c r="O5" s="545"/>
      <c r="P5" s="546"/>
    </row>
    <row r="6" spans="4:24" ht="15.75" x14ac:dyDescent="0.25">
      <c r="D6" s="544" t="s">
        <v>197</v>
      </c>
      <c r="E6" s="545"/>
      <c r="F6" s="545"/>
      <c r="G6" s="545"/>
      <c r="H6" s="545"/>
      <c r="I6" s="545"/>
      <c r="J6" s="545"/>
      <c r="K6" s="545"/>
      <c r="L6" s="545"/>
      <c r="M6" s="545"/>
      <c r="N6" s="545"/>
      <c r="O6" s="545"/>
      <c r="P6" s="546"/>
      <c r="S6" s="418"/>
      <c r="T6" s="419"/>
      <c r="U6" s="419"/>
      <c r="V6" s="419"/>
      <c r="W6" s="419"/>
      <c r="X6" s="420"/>
    </row>
    <row r="7" spans="4:24" ht="15.75" thickBot="1" x14ac:dyDescent="0.3">
      <c r="D7" s="158"/>
      <c r="E7" s="159"/>
      <c r="F7" s="160"/>
      <c r="G7" s="160"/>
      <c r="H7" s="161"/>
      <c r="I7" s="161"/>
      <c r="J7" s="160"/>
      <c r="K7" s="160"/>
      <c r="L7" s="161"/>
      <c r="M7" s="160"/>
      <c r="N7" s="160"/>
      <c r="O7" s="160"/>
      <c r="P7" s="162"/>
      <c r="S7" s="421"/>
      <c r="T7" s="475" t="s">
        <v>288</v>
      </c>
      <c r="U7" s="475"/>
      <c r="V7" s="475"/>
      <c r="W7" s="475"/>
      <c r="X7" s="422"/>
    </row>
    <row r="8" spans="4:24" s="163" customFormat="1" ht="24.95" customHeight="1" thickBot="1" x14ac:dyDescent="0.3">
      <c r="D8" s="547" t="s">
        <v>198</v>
      </c>
      <c r="E8" s="548"/>
      <c r="F8" s="548"/>
      <c r="G8" s="548"/>
      <c r="H8" s="548"/>
      <c r="I8" s="549"/>
      <c r="J8" s="549"/>
      <c r="K8" s="549"/>
      <c r="L8" s="549"/>
      <c r="M8" s="549"/>
      <c r="N8" s="549"/>
      <c r="O8" s="549"/>
      <c r="P8" s="550"/>
      <c r="S8" s="423"/>
      <c r="T8" s="424"/>
      <c r="U8" s="424"/>
      <c r="V8" s="424"/>
      <c r="W8" s="424"/>
      <c r="X8" s="425"/>
    </row>
    <row r="9" spans="4:24" ht="15" customHeight="1" x14ac:dyDescent="0.2">
      <c r="D9" s="164" t="s">
        <v>199</v>
      </c>
      <c r="E9" s="165"/>
      <c r="F9" s="165"/>
      <c r="G9" s="165"/>
      <c r="H9" s="165"/>
      <c r="I9" s="166"/>
      <c r="J9" s="165"/>
      <c r="K9" s="165"/>
      <c r="L9" s="165"/>
      <c r="M9" s="165"/>
      <c r="N9" s="165"/>
      <c r="O9" s="165"/>
      <c r="P9" s="167"/>
      <c r="S9" s="421"/>
      <c r="T9" s="426"/>
      <c r="U9" s="426"/>
      <c r="V9" s="426"/>
      <c r="W9" s="426"/>
      <c r="X9" s="422"/>
    </row>
    <row r="10" spans="4:24" ht="15" customHeight="1" x14ac:dyDescent="0.2">
      <c r="D10" s="168" t="s">
        <v>200</v>
      </c>
      <c r="E10" s="230"/>
      <c r="F10" s="230"/>
      <c r="G10" s="230"/>
      <c r="H10" s="230"/>
      <c r="I10" s="551" t="s">
        <v>201</v>
      </c>
      <c r="J10" s="552"/>
      <c r="K10" s="553" t="str">
        <f>VLOOKUP($K$13,ELEVES,2,FALSE)</f>
        <v>MUNGUAYAGURHWE NKUNDAMWAMI EMMANUEL</v>
      </c>
      <c r="L10" s="553"/>
      <c r="M10" s="553"/>
      <c r="N10" s="553"/>
      <c r="O10" s="231" t="s">
        <v>202</v>
      </c>
      <c r="P10" s="169" t="e">
        <f>IF(VLOOKUP($K$13,ELEVES,4,FALSE),VLOOKUP($K$13,ELEVES,4,FALSE),"")</f>
        <v>#VALUE!</v>
      </c>
      <c r="S10" s="421"/>
      <c r="T10" s="426"/>
      <c r="U10" s="426"/>
      <c r="V10" s="426"/>
      <c r="W10" s="426"/>
      <c r="X10" s="422"/>
    </row>
    <row r="11" spans="4:24" ht="14.25" x14ac:dyDescent="0.2">
      <c r="D11" s="168" t="s">
        <v>203</v>
      </c>
      <c r="E11" s="230"/>
      <c r="F11" s="230"/>
      <c r="G11" s="230"/>
      <c r="H11" s="230"/>
      <c r="I11" s="554" t="s">
        <v>204</v>
      </c>
      <c r="J11" s="489"/>
      <c r="K11" s="553" t="e">
        <f>IF(VLOOKUP($K$13,ELEVES,3,FALSE),VLOOKUP($K$13,ELEVES,3,FALSE),"")</f>
        <v>#VALUE!</v>
      </c>
      <c r="L11" s="553"/>
      <c r="M11" s="553"/>
      <c r="N11" s="553"/>
      <c r="O11" s="555"/>
      <c r="P11" s="556"/>
      <c r="S11" s="421"/>
      <c r="T11" s="426"/>
      <c r="U11" s="426"/>
      <c r="V11" s="426"/>
      <c r="W11" s="426"/>
      <c r="X11" s="422"/>
    </row>
    <row r="12" spans="4:24" ht="15.75" thickBot="1" x14ac:dyDescent="0.3">
      <c r="D12" s="168" t="s">
        <v>205</v>
      </c>
      <c r="E12" s="230"/>
      <c r="F12" s="230"/>
      <c r="G12" s="230"/>
      <c r="H12" s="230"/>
      <c r="I12" s="554" t="s">
        <v>206</v>
      </c>
      <c r="J12" s="489"/>
      <c r="K12" s="557" t="s">
        <v>207</v>
      </c>
      <c r="L12" s="557"/>
      <c r="M12" s="557"/>
      <c r="N12" s="557"/>
      <c r="O12" s="557"/>
      <c r="P12" s="558"/>
      <c r="S12" s="421"/>
      <c r="T12" s="476" t="s">
        <v>289</v>
      </c>
      <c r="U12" s="476"/>
      <c r="V12" s="476"/>
      <c r="W12" s="476"/>
      <c r="X12" s="422"/>
    </row>
    <row r="13" spans="4:24" s="163" customFormat="1" ht="18" customHeight="1" thickBot="1" x14ac:dyDescent="0.3">
      <c r="D13" s="170" t="s">
        <v>208</v>
      </c>
      <c r="E13" s="171"/>
      <c r="F13" s="171"/>
      <c r="G13" s="171"/>
      <c r="H13" s="171"/>
      <c r="I13" s="537" t="s">
        <v>209</v>
      </c>
      <c r="J13" s="538"/>
      <c r="K13" s="539" t="s">
        <v>253</v>
      </c>
      <c r="L13" s="539"/>
      <c r="M13" s="539"/>
      <c r="N13" s="539"/>
      <c r="O13" s="539"/>
      <c r="P13" s="540"/>
      <c r="S13" s="423"/>
      <c r="T13" s="424"/>
      <c r="U13" s="424"/>
      <c r="V13" s="424"/>
      <c r="W13" s="424"/>
      <c r="X13" s="425"/>
    </row>
    <row r="14" spans="4:24" s="172" customFormat="1" ht="18.75" thickBot="1" x14ac:dyDescent="0.3">
      <c r="D14" s="510" t="s">
        <v>210</v>
      </c>
      <c r="E14" s="511"/>
      <c r="F14" s="511"/>
      <c r="G14" s="511"/>
      <c r="H14" s="511"/>
      <c r="I14" s="512"/>
      <c r="J14" s="512"/>
      <c r="K14" s="512"/>
      <c r="L14" s="512"/>
      <c r="M14" s="512"/>
      <c r="N14" s="512"/>
      <c r="O14" s="512"/>
      <c r="P14" s="513"/>
      <c r="S14" s="427"/>
      <c r="T14" s="426"/>
      <c r="U14" s="426"/>
      <c r="V14" s="426"/>
      <c r="W14" s="426"/>
      <c r="X14" s="428"/>
    </row>
    <row r="15" spans="4:24" ht="15.75" thickBot="1" x14ac:dyDescent="0.3">
      <c r="D15" s="514" t="s">
        <v>211</v>
      </c>
      <c r="E15" s="517" t="s">
        <v>212</v>
      </c>
      <c r="F15" s="518"/>
      <c r="G15" s="518"/>
      <c r="H15" s="519"/>
      <c r="I15" s="518" t="s">
        <v>213</v>
      </c>
      <c r="J15" s="518"/>
      <c r="K15" s="518"/>
      <c r="L15" s="518"/>
      <c r="M15" s="520" t="s">
        <v>214</v>
      </c>
      <c r="N15" s="109"/>
      <c r="O15" s="523" t="s">
        <v>215</v>
      </c>
      <c r="P15" s="524"/>
      <c r="S15" s="421"/>
      <c r="T15" s="426"/>
      <c r="U15" s="426"/>
      <c r="V15" s="426"/>
      <c r="W15" s="426"/>
      <c r="X15" s="422"/>
    </row>
    <row r="16" spans="4:24" ht="15.75" customHeight="1" thickBot="1" x14ac:dyDescent="0.3">
      <c r="D16" s="515"/>
      <c r="E16" s="525" t="s">
        <v>216</v>
      </c>
      <c r="F16" s="526"/>
      <c r="G16" s="527" t="s">
        <v>217</v>
      </c>
      <c r="H16" s="529" t="s">
        <v>218</v>
      </c>
      <c r="I16" s="526" t="s">
        <v>216</v>
      </c>
      <c r="J16" s="526"/>
      <c r="K16" s="527" t="s">
        <v>217</v>
      </c>
      <c r="L16" s="531" t="s">
        <v>218</v>
      </c>
      <c r="M16" s="521"/>
      <c r="N16" s="109"/>
      <c r="O16" s="533" t="s">
        <v>219</v>
      </c>
      <c r="P16" s="535" t="s">
        <v>220</v>
      </c>
      <c r="S16" s="421" t="s">
        <v>221</v>
      </c>
      <c r="T16" s="426"/>
      <c r="U16" s="426"/>
      <c r="V16" s="426"/>
      <c r="W16" s="426"/>
      <c r="X16" s="422"/>
    </row>
    <row r="17" spans="3:24" ht="15.75" customHeight="1" thickBot="1" x14ac:dyDescent="0.3">
      <c r="D17" s="516"/>
      <c r="E17" s="174" t="s">
        <v>222</v>
      </c>
      <c r="F17" s="175" t="s">
        <v>223</v>
      </c>
      <c r="G17" s="528"/>
      <c r="H17" s="530"/>
      <c r="I17" s="176" t="s">
        <v>224</v>
      </c>
      <c r="J17" s="177" t="s">
        <v>225</v>
      </c>
      <c r="K17" s="528"/>
      <c r="L17" s="532"/>
      <c r="M17" s="522"/>
      <c r="N17" s="109"/>
      <c r="O17" s="534"/>
      <c r="P17" s="536"/>
      <c r="S17" s="421"/>
      <c r="T17" s="477" t="s">
        <v>290</v>
      </c>
      <c r="U17" s="477"/>
      <c r="V17" s="477"/>
      <c r="W17" s="477"/>
      <c r="X17" s="422"/>
    </row>
    <row r="18" spans="3:24" ht="13.5" customHeight="1" thickBot="1" x14ac:dyDescent="0.3">
      <c r="C18" s="178"/>
      <c r="D18" s="179" t="s">
        <v>226</v>
      </c>
      <c r="E18" s="351">
        <v>10</v>
      </c>
      <c r="F18" s="183">
        <v>10</v>
      </c>
      <c r="G18" s="184">
        <v>20</v>
      </c>
      <c r="H18" s="352">
        <v>40</v>
      </c>
      <c r="I18" s="183">
        <v>10</v>
      </c>
      <c r="J18" s="183">
        <v>10</v>
      </c>
      <c r="K18" s="184">
        <v>20</v>
      </c>
      <c r="L18" s="352">
        <v>40</v>
      </c>
      <c r="M18" s="224">
        <v>80</v>
      </c>
      <c r="N18" s="109"/>
      <c r="O18" s="109"/>
      <c r="P18" s="96"/>
      <c r="R18" s="155" t="s">
        <v>221</v>
      </c>
      <c r="S18" s="421"/>
      <c r="T18" s="424"/>
      <c r="U18" s="424"/>
      <c r="V18" s="424"/>
      <c r="W18" s="424"/>
      <c r="X18" s="422"/>
    </row>
    <row r="19" spans="3:24" x14ac:dyDescent="0.25">
      <c r="C19" s="178"/>
      <c r="D19" s="185" t="s">
        <v>41</v>
      </c>
      <c r="E19" s="186"/>
      <c r="F19" s="187"/>
      <c r="G19" s="187"/>
      <c r="H19" s="189"/>
      <c r="I19" s="186"/>
      <c r="J19" s="187"/>
      <c r="K19" s="187"/>
      <c r="L19" s="188"/>
      <c r="M19" s="348"/>
      <c r="N19" s="109"/>
      <c r="O19" s="201"/>
      <c r="P19" s="201"/>
      <c r="S19" s="421"/>
      <c r="T19" s="426"/>
      <c r="U19" s="426"/>
      <c r="V19" s="426"/>
      <c r="W19" s="426"/>
      <c r="X19" s="422"/>
    </row>
    <row r="20" spans="3:24" x14ac:dyDescent="0.25">
      <c r="C20" s="178"/>
      <c r="D20" s="190" t="s">
        <v>174</v>
      </c>
      <c r="E20" s="191">
        <f>IF(VLOOKUP($K$13,PR_1,7,FALSE),VLOOKUP($K$13,PR_1,7,FALSE),"")</f>
        <v>6</v>
      </c>
      <c r="F20" s="192" t="str">
        <f>IF(VLOOKUP($K$13,PR_22,7,FALSE),VLOOKUP($K$13,PR_22,7,FALSE),"")</f>
        <v/>
      </c>
      <c r="G20" s="192" t="str">
        <f>IF(VLOOKUP($K$13,EXAM_1,7,FALSE),VLOOKUP($K$13,EXAM_1,7,FALSE),"")</f>
        <v/>
      </c>
      <c r="H20" s="194">
        <f>SUM(E20:G20)</f>
        <v>6</v>
      </c>
      <c r="I20" s="191" t="str">
        <f>IF(VLOOKUP($K$13,PR_3,7,FALSE),VLOOKUP($K$13,PR_3,7,FALSE),"")</f>
        <v/>
      </c>
      <c r="J20" s="192" t="str">
        <f>IF(VLOOKUP($K$13,PR_4,7,FALSE),VLOOKUP($K$13,PR_4,7,FALSE),"")</f>
        <v/>
      </c>
      <c r="K20" s="192" t="str">
        <f>IF(VLOOKUP($K$13,EXAM_2,7,FALSE),VLOOKUP($K$13,EXAM_1,7,FALSE),"")</f>
        <v/>
      </c>
      <c r="L20" s="193">
        <f>SUM(I20:K20)</f>
        <v>0</v>
      </c>
      <c r="M20" s="229">
        <f t="shared" ref="M20:M43" si="0">SUM(H20,L20)</f>
        <v>6</v>
      </c>
      <c r="N20" s="109"/>
      <c r="O20" s="195"/>
      <c r="P20" s="195"/>
      <c r="S20" s="421"/>
      <c r="T20" s="426"/>
      <c r="U20" s="426"/>
      <c r="V20" s="426"/>
      <c r="W20" s="426"/>
      <c r="X20" s="422"/>
    </row>
    <row r="21" spans="3:24" ht="15.75" thickBot="1" x14ac:dyDescent="0.3">
      <c r="C21" s="178"/>
      <c r="D21" s="196" t="s">
        <v>175</v>
      </c>
      <c r="E21" s="197"/>
      <c r="F21" s="198"/>
      <c r="G21" s="198"/>
      <c r="H21" s="200"/>
      <c r="I21" s="197"/>
      <c r="J21" s="198"/>
      <c r="K21" s="198"/>
      <c r="L21" s="199"/>
      <c r="M21" s="357"/>
      <c r="N21" s="109"/>
      <c r="O21" s="208"/>
      <c r="P21" s="208"/>
      <c r="S21" s="429"/>
      <c r="T21" s="430"/>
      <c r="U21" s="430"/>
      <c r="V21" s="430"/>
      <c r="W21" s="430"/>
      <c r="X21" s="431"/>
    </row>
    <row r="22" spans="3:24" s="157" customFormat="1" ht="15.75" thickBot="1" x14ac:dyDescent="0.3">
      <c r="C22" s="202"/>
      <c r="D22" s="179" t="s">
        <v>226</v>
      </c>
      <c r="E22" s="355">
        <v>20</v>
      </c>
      <c r="F22" s="203">
        <v>20</v>
      </c>
      <c r="G22" s="204">
        <v>40</v>
      </c>
      <c r="H22" s="356">
        <v>80</v>
      </c>
      <c r="I22" s="203">
        <v>20</v>
      </c>
      <c r="J22" s="203">
        <v>20</v>
      </c>
      <c r="K22" s="204">
        <v>40</v>
      </c>
      <c r="L22" s="205">
        <v>80</v>
      </c>
      <c r="M22" s="224">
        <f t="shared" si="0"/>
        <v>160</v>
      </c>
      <c r="N22" s="109"/>
      <c r="O22" s="109"/>
      <c r="P22" s="96"/>
    </row>
    <row r="23" spans="3:24" x14ac:dyDescent="0.25">
      <c r="D23" s="185" t="s">
        <v>40</v>
      </c>
      <c r="E23" s="186">
        <f>IF(VLOOKUP($K$13,PR_1,9,FALSE),VLOOKUP($K$13,PR_1,9,FALSE),"")</f>
        <v>6</v>
      </c>
      <c r="F23" s="187" t="str">
        <f>IF(VLOOKUP($K$13,PR_22,9,FALSE),VLOOKUP($K$13,PR_22,9,FALSE),"")</f>
        <v/>
      </c>
      <c r="G23" s="187" t="str">
        <f>IF(VLOOKUP($K$13,EXAM_1,9,FALSE),VLOOKUP($K$13,PR_22,9,FALSE),"")</f>
        <v/>
      </c>
      <c r="H23" s="188">
        <f>SUM(E23:G23)</f>
        <v>6</v>
      </c>
      <c r="I23" s="349" t="str">
        <f>IF(VLOOKUP($K$13,PR_3,9,FALSE),VLOOKUP($K$13,PR_3,9,FALSE),"")</f>
        <v/>
      </c>
      <c r="J23" s="187" t="str">
        <f>IF(VLOOKUP($K$13,PR_4,9,FALSE),VLOOKUP($K$13,PR_4,9,FALSE),"")</f>
        <v/>
      </c>
      <c r="K23" s="187" t="str">
        <f>IF(VLOOKUP($K$13,EXAM_2,9,FALSE),VLOOKUP($K$13,EXAM_2,9,FALSE),"")</f>
        <v/>
      </c>
      <c r="L23" s="188">
        <f>SUM(I23:K23)</f>
        <v>0</v>
      </c>
      <c r="M23" s="348">
        <f t="shared" si="0"/>
        <v>6</v>
      </c>
      <c r="N23" s="109"/>
      <c r="O23" s="201"/>
      <c r="P23" s="201"/>
    </row>
    <row r="24" spans="3:24" x14ac:dyDescent="0.25">
      <c r="D24" s="206" t="s">
        <v>227</v>
      </c>
      <c r="E24" s="191"/>
      <c r="F24" s="192"/>
      <c r="G24" s="192"/>
      <c r="H24" s="193"/>
      <c r="I24" s="350"/>
      <c r="J24" s="192"/>
      <c r="K24" s="192"/>
      <c r="L24" s="193"/>
      <c r="M24" s="229"/>
      <c r="N24" s="109"/>
      <c r="O24" s="195"/>
      <c r="P24" s="195"/>
    </row>
    <row r="25" spans="3:24" x14ac:dyDescent="0.25">
      <c r="D25" s="190" t="s">
        <v>176</v>
      </c>
      <c r="E25" s="191">
        <f>IF(VLOOKUP($K$13,PR_1,10,FALSE),VLOOKUP($K$13,PR_1,10,FALSE),"")</f>
        <v>6</v>
      </c>
      <c r="F25" s="192" t="str">
        <f>IF(VLOOKUP($K$13,PR_22,10,FALSE),VLOOKUP($K$13,PR_22,10,FALSE),"")</f>
        <v/>
      </c>
      <c r="G25" s="192" t="str">
        <f>IF(VLOOKUP($K$13,EXAM_1,10,FALSE),VLOOKUP($K$13,EXAM_1,10,FALSE),"")</f>
        <v/>
      </c>
      <c r="H25" s="193">
        <f>SUM(E25:G25)</f>
        <v>6</v>
      </c>
      <c r="I25" s="350" t="str">
        <f>IF(VLOOKUP($K$13,PR_3,10,FALSE),VLOOKUP($K$13,PR_3,10,FALSE),"")</f>
        <v/>
      </c>
      <c r="J25" s="192" t="str">
        <f>IF(VLOOKUP($K$13,PR_4,10,FALSE),VLOOKUP($K$13,PR_4,10,FALSE),"")</f>
        <v/>
      </c>
      <c r="K25" s="192" t="str">
        <f>IF(VLOOKUP($K$13,EXAM_2,10,FALSE),VLOOKUP($K$13,EXAM_2,10,FALSE),"")</f>
        <v/>
      </c>
      <c r="L25" s="193">
        <f t="shared" ref="L25:L30" si="1">SUM(I25:K25)</f>
        <v>0</v>
      </c>
      <c r="M25" s="229">
        <f t="shared" si="0"/>
        <v>6</v>
      </c>
      <c r="N25" s="109"/>
      <c r="O25" s="195"/>
      <c r="P25" s="195"/>
    </row>
    <row r="26" spans="3:24" x14ac:dyDescent="0.25">
      <c r="D26" s="207" t="s">
        <v>177</v>
      </c>
      <c r="E26" s="191">
        <f>IF(VLOOKUP($K$13,PR_1,11,FALSE),VLOOKUP($K$13,PR_1,11,FALSE),"")</f>
        <v>6</v>
      </c>
      <c r="F26" s="192" t="str">
        <f>IF(VLOOKUP($K$13,PR_22,11,FALSE),VLOOKUP($K$13,PR_22,11,FALSE),"")</f>
        <v/>
      </c>
      <c r="G26" s="192" t="str">
        <f>IF(VLOOKUP($K$13,EXAM_1,11,FALSE),VLOOKUP($K$13,EXAM_1,11,FALSE),"")</f>
        <v/>
      </c>
      <c r="H26" s="193">
        <f t="shared" ref="H26:H30" si="2">SUM(E26:G26)</f>
        <v>6</v>
      </c>
      <c r="I26" s="350" t="str">
        <f>IF(VLOOKUP($K$13,PR_3,11,FALSE),VLOOKUP($K$13,PR_3,11,FALSE),"")</f>
        <v/>
      </c>
      <c r="J26" s="192" t="str">
        <f>IF(VLOOKUP($K$13,PR_4,11,FALSE),VLOOKUP($K$13,PR_4,11,FALSE),"")</f>
        <v/>
      </c>
      <c r="K26" s="192" t="str">
        <f>IF(VLOOKUP($K$13,EXAM_2,11,FALSE),VLOOKUP($K$13,EXAM_2,11,FALSE),"")</f>
        <v/>
      </c>
      <c r="L26" s="193">
        <f t="shared" si="1"/>
        <v>0</v>
      </c>
      <c r="M26" s="229">
        <f t="shared" si="0"/>
        <v>6</v>
      </c>
      <c r="N26" s="109"/>
      <c r="O26" s="233"/>
      <c r="P26" s="233"/>
    </row>
    <row r="27" spans="3:24" x14ac:dyDescent="0.25">
      <c r="D27" s="190" t="s">
        <v>178</v>
      </c>
      <c r="E27" s="191">
        <f>IF(VLOOKUP($K$13,PR_1,12,FALSE),VLOOKUP($K$13,PR_1,12,FALSE),"")</f>
        <v>6</v>
      </c>
      <c r="F27" s="192" t="str">
        <f>IF(VLOOKUP($K$13,PR_22,12,FALSE),VLOOKUP($K$13,PR_22,12,FALSE),"")</f>
        <v/>
      </c>
      <c r="G27" s="192" t="str">
        <f>IF(VLOOKUP($K$13,EXAM_1,12,FALSE),VLOOKUP($K$13,EXAM_1,12,FALSE),"")</f>
        <v/>
      </c>
      <c r="H27" s="193">
        <f t="shared" si="2"/>
        <v>6</v>
      </c>
      <c r="I27" s="350" t="str">
        <f>IF(VLOOKUP($K$13,PR_3,12,FALSE),VLOOKUP($K$13,PR_3,12,FALSE),"")</f>
        <v/>
      </c>
      <c r="J27" s="192" t="str">
        <f>IF(VLOOKUP($K$13,PR_4,12,FALSE),VLOOKUP($K$13,PR_4,12,FALSE),"")</f>
        <v/>
      </c>
      <c r="K27" s="192" t="str">
        <f>IF(VLOOKUP($K$13,EXAM_2,12,FALSE),VLOOKUP($K$13,EXAM_2,12,FALSE),"")</f>
        <v/>
      </c>
      <c r="L27" s="193">
        <f t="shared" si="1"/>
        <v>0</v>
      </c>
      <c r="M27" s="229">
        <f t="shared" si="0"/>
        <v>6</v>
      </c>
      <c r="N27" s="109"/>
      <c r="O27" s="109"/>
      <c r="P27" s="96"/>
    </row>
    <row r="28" spans="3:24" x14ac:dyDescent="0.25">
      <c r="D28" s="206" t="s">
        <v>179</v>
      </c>
      <c r="E28" s="191">
        <f>IF(VLOOKUP($K$13,PR_1,13,FALSE),VLOOKUP($K$13,PR_1,13,FALSE),"")</f>
        <v>6</v>
      </c>
      <c r="F28" s="192">
        <f>IF(VLOOKUP($K$13,PR_22,13,FALSE),VLOOKUP($K$13,PR_22,13,FALSE),"")</f>
        <v>10</v>
      </c>
      <c r="G28" s="192" t="str">
        <f>IF(VLOOKUP($K$13,EXAM_1,13,FALSE),VLOOKUP($K$13,EXAM_1,13,FALSE),"")</f>
        <v/>
      </c>
      <c r="H28" s="193">
        <f t="shared" si="2"/>
        <v>16</v>
      </c>
      <c r="I28" s="350" t="str">
        <f>IF(VLOOKUP($K$13,PR_3,13,FALSE),VLOOKUP($K$13,PR_3,13,FALSE),"")</f>
        <v/>
      </c>
      <c r="J28" s="192" t="str">
        <f>IF(VLOOKUP($K$13,PR_4,13,FALSE),VLOOKUP($K$13,PR_4,13,FALSE),"")</f>
        <v/>
      </c>
      <c r="K28" s="192" t="str">
        <f>IF(VLOOKUP($K$13,EXAM_2,13,FALSE),VLOOKUP($K$13,EXAM_2,13,FALSE),"")</f>
        <v/>
      </c>
      <c r="L28" s="193">
        <f t="shared" si="1"/>
        <v>0</v>
      </c>
      <c r="M28" s="229">
        <f t="shared" si="0"/>
        <v>16</v>
      </c>
      <c r="N28" s="109"/>
      <c r="O28" s="201"/>
      <c r="P28" s="201"/>
    </row>
    <row r="29" spans="3:24" x14ac:dyDescent="0.25">
      <c r="D29" s="190" t="s">
        <v>228</v>
      </c>
      <c r="E29" s="191">
        <f>IF(VLOOKUP($K$13,PR_1,14,FALSE),VLOOKUP($K$13,PR_1,14,FALSE),"")</f>
        <v>6</v>
      </c>
      <c r="F29" s="192" t="str">
        <f>IF(VLOOKUP($K$13,PR_22,14,FALSE),VLOOKUP($K$13,PR_22,14,FALSE),"")</f>
        <v/>
      </c>
      <c r="G29" s="192" t="str">
        <f>IF(VLOOKUP($K$13,EXAM_1,14,FALSE),VLOOKUP($K$13,EXAM_1,14,FALSE),"")</f>
        <v/>
      </c>
      <c r="H29" s="193">
        <f t="shared" si="2"/>
        <v>6</v>
      </c>
      <c r="I29" s="350" t="str">
        <f>IF(VLOOKUP($K$13,PR_3,14,FALSE),VLOOKUP($K$13,PR_3,14,FALSE),"")</f>
        <v/>
      </c>
      <c r="J29" s="192" t="str">
        <f>IF(VLOOKUP($K$13,PR_4,14,FALSE),VLOOKUP($K$13,PR_4,14,FALSE),"")</f>
        <v/>
      </c>
      <c r="K29" s="192" t="str">
        <f>IF(VLOOKUP($K$13,EXAM_2,14,FALSE),VLOOKUP($K$13,EXAM_2,14,FALSE),"")</f>
        <v/>
      </c>
      <c r="L29" s="193">
        <f t="shared" si="1"/>
        <v>0</v>
      </c>
      <c r="M29" s="229">
        <f t="shared" si="0"/>
        <v>6</v>
      </c>
      <c r="N29" s="109"/>
      <c r="O29" s="195"/>
      <c r="P29" s="195"/>
    </row>
    <row r="30" spans="3:24" ht="15.75" thickBot="1" x14ac:dyDescent="0.3">
      <c r="D30" s="207" t="s">
        <v>181</v>
      </c>
      <c r="E30" s="197">
        <f>IF(VLOOKUP($K$13,PR_1,15,FALSE),VLOOKUP($K$13,PR_1,15,FALSE),"")</f>
        <v>6</v>
      </c>
      <c r="F30" s="198">
        <f>IF(VLOOKUP($K$13,PR_22,15,FALSE),VLOOKUP($K$13,PR_22,15,FALSE),"")</f>
        <v>10</v>
      </c>
      <c r="G30" s="198" t="str">
        <f>IF(VLOOKUP($K$13,EXAM_1,15,FALSE),VLOOKUP($K$13,EXAM_1,15,FALSE),"")</f>
        <v/>
      </c>
      <c r="H30" s="199">
        <f t="shared" si="2"/>
        <v>16</v>
      </c>
      <c r="I30" s="354" t="str">
        <f>IF(VLOOKUP($K$13,PR_3,15,FALSE),VLOOKUP($K$13,PR_3,15,FALSE),"")</f>
        <v/>
      </c>
      <c r="J30" s="198" t="str">
        <f>IF(VLOOKUP($K$13,PR_4,15,FALSE),VLOOKUP($K$13,PR_4,15,FALSE),"")</f>
        <v/>
      </c>
      <c r="K30" s="198" t="str">
        <f>IF(VLOOKUP($K$13,EXAM_2,15,FALSE),VLOOKUP($K$13,EXAM_2,15,FALSE),"")</f>
        <v/>
      </c>
      <c r="L30" s="199">
        <f t="shared" si="1"/>
        <v>0</v>
      </c>
      <c r="M30" s="353">
        <f t="shared" si="0"/>
        <v>16</v>
      </c>
      <c r="N30" s="109"/>
      <c r="O30" s="208"/>
      <c r="P30" s="208"/>
    </row>
    <row r="31" spans="3:24" s="157" customFormat="1" ht="15.75" thickBot="1" x14ac:dyDescent="0.3">
      <c r="D31" s="210" t="s">
        <v>226</v>
      </c>
      <c r="E31" s="355">
        <v>30</v>
      </c>
      <c r="F31" s="203">
        <v>30</v>
      </c>
      <c r="G31" s="204">
        <v>60</v>
      </c>
      <c r="H31" s="356">
        <v>120</v>
      </c>
      <c r="I31" s="203">
        <v>30</v>
      </c>
      <c r="J31" s="203">
        <v>30</v>
      </c>
      <c r="K31" s="204">
        <v>60</v>
      </c>
      <c r="L31" s="205">
        <v>120</v>
      </c>
      <c r="M31" s="224">
        <f t="shared" si="0"/>
        <v>240</v>
      </c>
      <c r="N31" s="109"/>
      <c r="O31" s="109"/>
      <c r="P31" s="96"/>
    </row>
    <row r="32" spans="3:24" x14ac:dyDescent="0.25">
      <c r="D32" s="206" t="s">
        <v>182</v>
      </c>
      <c r="E32" s="186">
        <f>IF(VLOOKUP($K$13,PR_1,16,FALSE),VLOOKUP($K$13,PR_1,16,FALSE),"")</f>
        <v>6</v>
      </c>
      <c r="F32" s="187">
        <f>IF(VLOOKUP($K$13,PR_22,16,FALSE),VLOOKUP($K$13,PR_22,16,FALSE),"")</f>
        <v>21</v>
      </c>
      <c r="G32" s="187" t="str">
        <f>IF(VLOOKUP($K$13,EXAM_1,16,FALSE),VLOOKUP($K$13,EXAM_1,16,FALSE),"")</f>
        <v/>
      </c>
      <c r="H32" s="188">
        <f>SUM(E32:G32)</f>
        <v>27</v>
      </c>
      <c r="I32" s="349" t="str">
        <f>IF(VLOOKUP($K$13,PR_3,16,FALSE),VLOOKUP($K$13,PR_3,16,FALSE),"")</f>
        <v/>
      </c>
      <c r="J32" s="187" t="str">
        <f>IF(VLOOKUP($K$13,PR_4,16,FALSE),VLOOKUP($K$13,PR_4,16,FALSE),"")</f>
        <v/>
      </c>
      <c r="K32" s="187" t="str">
        <f>IF(VLOOKUP($K$13,EXAM_2,16,FALSE),VLOOKUP($K$13,EXAM_2,16,FALSE),"")</f>
        <v/>
      </c>
      <c r="L32" s="188">
        <f>SUM(I32:K32)</f>
        <v>0</v>
      </c>
      <c r="M32" s="216">
        <f t="shared" si="0"/>
        <v>27</v>
      </c>
      <c r="N32" s="109"/>
      <c r="O32" s="201"/>
      <c r="P32" s="201"/>
      <c r="S32" s="155" t="s">
        <v>221</v>
      </c>
    </row>
    <row r="33" spans="4:19" x14ac:dyDescent="0.25">
      <c r="D33" s="190" t="s">
        <v>183</v>
      </c>
      <c r="E33" s="191">
        <f>IF(VLOOKUP($K$13,PR_1,17,FALSE),VLOOKUP($K$13,PR_1,17,FALSE),"")</f>
        <v>6</v>
      </c>
      <c r="F33" s="192">
        <f>IF(VLOOKUP($K$13,PR_22,17,FALSE),VLOOKUP($K$13,PR_22,17,FALSE),"")</f>
        <v>11.6</v>
      </c>
      <c r="G33" s="192" t="str">
        <f>IF(VLOOKUP($K$13,EXAM_1,17,FALSE),VLOOKUP($K$13,EXAM_1,17,FALSE),"")</f>
        <v/>
      </c>
      <c r="H33" s="193">
        <f>SUM(E33:G33)</f>
        <v>17.600000000000001</v>
      </c>
      <c r="I33" s="350" t="str">
        <f>IF(VLOOKUP($K$13,PR_3,17,FALSE),VLOOKUP($K$13,PR_3,17,FALSE),"")</f>
        <v/>
      </c>
      <c r="J33" s="192" t="str">
        <f>IF(VLOOKUP($K$13,PR_4,17,FALSE),VLOOKUP($K$13,PR_4,17,FALSE),"")</f>
        <v/>
      </c>
      <c r="K33" s="192" t="str">
        <f>IF(VLOOKUP($K$13,EXAM_2,17,FALSE),VLOOKUP($K$13,EXAM_2,17,FALSE),"")</f>
        <v/>
      </c>
      <c r="L33" s="193">
        <f>SUM(I33:K33)</f>
        <v>0</v>
      </c>
      <c r="M33" s="229">
        <f t="shared" si="0"/>
        <v>17.600000000000001</v>
      </c>
      <c r="N33" s="109"/>
      <c r="O33" s="201"/>
      <c r="P33" s="201"/>
    </row>
    <row r="34" spans="4:19" x14ac:dyDescent="0.25">
      <c r="D34" s="209" t="s">
        <v>229</v>
      </c>
      <c r="E34" s="191">
        <f>IF(VLOOKUP($K$13,PR_1,18,FALSE),VLOOKUP($K$13,PR_1,18,FALSE),"")</f>
        <v>6</v>
      </c>
      <c r="F34" s="192" t="str">
        <f>IF(VLOOKUP($K$13,PR_22,18,FALSE),VLOOKUP($K$13,PR_22,18,FALSE),"")</f>
        <v/>
      </c>
      <c r="G34" s="192" t="str">
        <f>IF(VLOOKUP($K$13,EXAM_1,18,FALSE),VLOOKUP($K$13,EXAM_1,18,FALSE),"")</f>
        <v/>
      </c>
      <c r="H34" s="193">
        <f t="shared" ref="H34:H35" si="3">SUM(E34:G34)</f>
        <v>6</v>
      </c>
      <c r="I34" s="350" t="str">
        <f>IF(VLOOKUP($K$13,PR_3,18,FALSE),VLOOKUP($K$13,PR_3,18,FALSE),"")</f>
        <v/>
      </c>
      <c r="J34" s="192" t="str">
        <f>IF(VLOOKUP($K$13,PR_4,18,FALSE),VLOOKUP($K$13,4,18,FALSE),"")</f>
        <v/>
      </c>
      <c r="K34" s="192" t="str">
        <f>IF(VLOOKUP($K$13,EXAM_2,18,FALSE),VLOOKUP($K$13,EXAM_2,18,FALSE),"")</f>
        <v/>
      </c>
      <c r="L34" s="193">
        <f t="shared" ref="L34:L35" si="4">SUM(I34:K34)</f>
        <v>0</v>
      </c>
      <c r="M34" s="229">
        <f t="shared" si="0"/>
        <v>6</v>
      </c>
      <c r="N34" s="109"/>
      <c r="O34" s="195"/>
      <c r="P34" s="195"/>
      <c r="S34" s="155" t="s">
        <v>221</v>
      </c>
    </row>
    <row r="35" spans="4:19" ht="15.75" thickBot="1" x14ac:dyDescent="0.3">
      <c r="D35" s="207" t="s">
        <v>185</v>
      </c>
      <c r="E35" s="197">
        <f>IF(VLOOKUP($K$13,PR_1,19,FALSE),VLOOKUP($K$13,PR_1,19,FALSE),"")</f>
        <v>6</v>
      </c>
      <c r="F35" s="198" t="str">
        <f>IF(VLOOKUP($K$13,PR_22,19,FALSE),VLOOKUP($K$13,PR_22,19,FALSE),"")</f>
        <v/>
      </c>
      <c r="G35" s="198" t="str">
        <f>IF(VLOOKUP($K$13,EXAM_1,19,FALSE),VLOOKUP($K$13,EXAM_1,19,FALSE),"")</f>
        <v/>
      </c>
      <c r="H35" s="199">
        <f t="shared" si="3"/>
        <v>6</v>
      </c>
      <c r="I35" s="354" t="str">
        <f>IF(VLOOKUP($K$13,PR_3,19,FALSE),VLOOKUP($K$13,PR_3,19,FALSE),"")</f>
        <v/>
      </c>
      <c r="J35" s="198" t="str">
        <f>IF(VLOOKUP($K$13,PR_4,19,FALSE),VLOOKUP($K$13,PR_4,19,FALSE),"")</f>
        <v/>
      </c>
      <c r="K35" s="198" t="str">
        <f>IF(VLOOKUP($K$13,EXAM_2,19,FALSE),VLOOKUP($K$13,EXAM_2,19,FALSE),"")</f>
        <v/>
      </c>
      <c r="L35" s="199">
        <f t="shared" si="4"/>
        <v>0</v>
      </c>
      <c r="M35" s="357">
        <f t="shared" si="0"/>
        <v>6</v>
      </c>
      <c r="N35" s="109"/>
      <c r="O35" s="233"/>
      <c r="P35" s="233"/>
    </row>
    <row r="36" spans="4:19" s="157" customFormat="1" ht="15.75" thickBot="1" x14ac:dyDescent="0.3">
      <c r="D36" s="210" t="s">
        <v>226</v>
      </c>
      <c r="E36" s="355">
        <v>40</v>
      </c>
      <c r="F36" s="203">
        <v>40</v>
      </c>
      <c r="G36" s="204">
        <v>80</v>
      </c>
      <c r="H36" s="356">
        <v>160</v>
      </c>
      <c r="I36" s="203">
        <v>40</v>
      </c>
      <c r="J36" s="203">
        <v>40</v>
      </c>
      <c r="K36" s="204">
        <v>80</v>
      </c>
      <c r="L36" s="205">
        <v>160</v>
      </c>
      <c r="M36" s="205">
        <f t="shared" si="0"/>
        <v>320</v>
      </c>
      <c r="N36" s="109"/>
      <c r="O36" s="109"/>
      <c r="P36" s="96"/>
    </row>
    <row r="37" spans="4:19" x14ac:dyDescent="0.25">
      <c r="D37" s="206" t="s">
        <v>186</v>
      </c>
      <c r="E37" s="186">
        <f>IF(VLOOKUP($K$13,PR_1,20,FALSE),VLOOKUP($K$13,PR_1,20,FALSE),"")</f>
        <v>6</v>
      </c>
      <c r="F37" s="187" t="str">
        <f>IF(VLOOKUP($K$13,PR_22,20,FALSE),VLOOKUP($K$13,PR_22,20,FALSE),"")</f>
        <v/>
      </c>
      <c r="G37" s="187" t="str">
        <f>IF(VLOOKUP($K$13,EXAM_1,20,FALSE),VLOOKUP($K$13,EXAM_1,20,FALSE),"")</f>
        <v/>
      </c>
      <c r="H37" s="188">
        <f>SUM(E37:G37)</f>
        <v>6</v>
      </c>
      <c r="I37" s="349" t="str">
        <f>IF(VLOOKUP($K$13,PR_3,20,FALSE),VLOOKUP($K$13,PR_3,20,FALSE),"")</f>
        <v/>
      </c>
      <c r="J37" s="187" t="str">
        <f>IF(VLOOKUP($K$13,PR_4,20,FALSE),VLOOKUP($K$13,PR_4,20,FALSE),"")</f>
        <v/>
      </c>
      <c r="K37" s="358" t="str">
        <f>IF(VLOOKUP($K$13,EXAM_2,20,FALSE),VLOOKUP($K$13,EXAM_2,20,FALSE),"")</f>
        <v/>
      </c>
      <c r="L37" s="348">
        <f>SUM(I37:K37)</f>
        <v>0</v>
      </c>
      <c r="M37" s="173">
        <f t="shared" si="0"/>
        <v>6</v>
      </c>
      <c r="N37" s="109"/>
      <c r="O37" s="208"/>
      <c r="P37" s="208"/>
    </row>
    <row r="38" spans="4:19" x14ac:dyDescent="0.25">
      <c r="D38" s="190" t="s">
        <v>187</v>
      </c>
      <c r="E38" s="191">
        <f>IF(VLOOKUP($K$13,PR_1,21,FALSE),VLOOKUP($K$13,PR_1,21,FALSE),"")</f>
        <v>6</v>
      </c>
      <c r="F38" s="192" t="str">
        <f>IF(VLOOKUP($K$13,PR_22,21,FALSE),VLOOKUP($K$13,PR_22,21,FALSE),"")</f>
        <v/>
      </c>
      <c r="G38" s="192" t="str">
        <f>IF(VLOOKUP($K$13,EXAM_1,21,FALSE),VLOOKUP($K$13,EXAM_1,21,FALSE),"")</f>
        <v/>
      </c>
      <c r="H38" s="193">
        <f>SUM(E38:G38)</f>
        <v>6</v>
      </c>
      <c r="I38" s="350" t="str">
        <f>IF(VLOOKUP($K$13,PR_3,21,FALSE),VLOOKUP($K$13,PR_3,21,FALSE),"")</f>
        <v/>
      </c>
      <c r="J38" s="192" t="str">
        <f>IF(VLOOKUP($K$13,PR_4,21,FALSE),VLOOKUP($K$13,PR_4,21,FALSE),"")</f>
        <v/>
      </c>
      <c r="K38" s="359" t="str">
        <f>IF(VLOOKUP($K$13,EXAM_2,21,FALSE),VLOOKUP($K$13,EXAM_2,21,FALSE),"")</f>
        <v/>
      </c>
      <c r="L38" s="229">
        <f>SUM(I38:K38)</f>
        <v>0</v>
      </c>
      <c r="M38" s="225">
        <f t="shared" si="0"/>
        <v>6</v>
      </c>
      <c r="N38" s="109"/>
      <c r="O38" s="109"/>
      <c r="P38" s="96"/>
    </row>
    <row r="39" spans="4:19" x14ac:dyDescent="0.25">
      <c r="D39" s="190" t="s">
        <v>188</v>
      </c>
      <c r="E39" s="191">
        <f>IF(VLOOKUP($K$13,PR_1,22,FALSE),VLOOKUP($K$13,PR_1,22,FALSE),"")</f>
        <v>6</v>
      </c>
      <c r="F39" s="192" t="str">
        <f>IF(VLOOKUP($K$13,PR_22,22,FALSE),VLOOKUP($K$13,PR_22,22,FALSE),"")</f>
        <v/>
      </c>
      <c r="G39" s="192" t="str">
        <f>IF(VLOOKUP($K$13,EXAM_1,22,FALSE),VLOOKUP($K$13,EXAM_1,22,FALSE),"")</f>
        <v/>
      </c>
      <c r="H39" s="193">
        <f>SUM(E39:G39)</f>
        <v>6</v>
      </c>
      <c r="I39" s="350" t="str">
        <f>IF(VLOOKUP($K$13,PR_3,22,FALSE),VLOOKUP($K$13,PR_3,22,FALSE),"")</f>
        <v/>
      </c>
      <c r="J39" s="192" t="str">
        <f>IF(VLOOKUP($K$13,PR_4,22,FALSE),VLOOKUP($K$13,PR_4,22,FALSE),"")</f>
        <v/>
      </c>
      <c r="K39" s="359" t="str">
        <f>IF(VLOOKUP($K$13,EXAM_2,22,FALSE),VLOOKUP($K$13,EXAM_2,22,FALSE),"")</f>
        <v/>
      </c>
      <c r="L39" s="229">
        <f>SUM(I39:K39)</f>
        <v>0</v>
      </c>
      <c r="M39" s="225">
        <f t="shared" si="0"/>
        <v>6</v>
      </c>
      <c r="N39" s="109"/>
      <c r="O39" s="201"/>
      <c r="P39" s="201"/>
    </row>
    <row r="40" spans="4:19" ht="15.75" thickBot="1" x14ac:dyDescent="0.3">
      <c r="D40" s="207" t="s">
        <v>189</v>
      </c>
      <c r="E40" s="197">
        <f>IF(VLOOKUP($K$13,PR_1,23,FALSE),VLOOKUP($K$13,PR_1,23,FALSE),"")</f>
        <v>6</v>
      </c>
      <c r="F40" s="198" t="str">
        <f>IF(VLOOKUP($K$13,PR_22,23,FALSE),VLOOKUP($K$13,PR_22,23,FALSE),"")</f>
        <v/>
      </c>
      <c r="G40" s="198" t="str">
        <f>IF(VLOOKUP($K$13,EXAM_2,23,FALSE),VLOOKUP($K$13,EXAM_1,23,FALSE),"")</f>
        <v/>
      </c>
      <c r="H40" s="199">
        <f>SUM(E40:G40)</f>
        <v>6</v>
      </c>
      <c r="I40" s="354" t="str">
        <f>IF(VLOOKUP($K$13,PR_3,23,FALSE),VLOOKUP($K$13,PR_3,23,FALSE),"")</f>
        <v/>
      </c>
      <c r="J40" s="198" t="str">
        <f>IF(VLOOKUP($K$13,PR_4,23,FALSE),VLOOKUP($K$13,PR_4,23,FALSE),"")</f>
        <v/>
      </c>
      <c r="K40" s="360" t="str">
        <f>IF(VLOOKUP($K$13,EXAM_2,23,FALSE),VLOOKUP($K$13,EXAM_2,23,FALSE),"")</f>
        <v/>
      </c>
      <c r="L40" s="357">
        <f>SUM(I40:K40)</f>
        <v>0</v>
      </c>
      <c r="M40" s="226">
        <f t="shared" si="0"/>
        <v>6</v>
      </c>
      <c r="N40" s="109"/>
      <c r="O40" s="233"/>
      <c r="P40" s="233"/>
    </row>
    <row r="41" spans="4:19" s="157" customFormat="1" ht="15.75" thickBot="1" x14ac:dyDescent="0.3">
      <c r="D41" s="210" t="s">
        <v>226</v>
      </c>
      <c r="E41" s="180">
        <v>50</v>
      </c>
      <c r="F41" s="181">
        <v>50</v>
      </c>
      <c r="G41" s="181">
        <v>100</v>
      </c>
      <c r="H41" s="182">
        <v>200</v>
      </c>
      <c r="I41" s="370">
        <v>50</v>
      </c>
      <c r="J41" s="181">
        <v>50</v>
      </c>
      <c r="K41" s="181">
        <v>100</v>
      </c>
      <c r="L41" s="316">
        <v>200</v>
      </c>
      <c r="M41" s="224">
        <f t="shared" si="0"/>
        <v>400</v>
      </c>
      <c r="N41" s="109"/>
      <c r="O41" s="109"/>
      <c r="P41" s="96"/>
    </row>
    <row r="42" spans="4:19" s="157" customFormat="1" ht="15.75" thickBot="1" x14ac:dyDescent="0.3">
      <c r="D42" s="206" t="s">
        <v>190</v>
      </c>
      <c r="E42" s="361" t="str">
        <f>IF(VLOOKUP($K$13,PR_22,24,FALSE),VLOOKUP($K$13,PR_22,24,FALSE),"")</f>
        <v/>
      </c>
      <c r="F42" s="362">
        <f>IF(VLOOKUP($K$13,PR_1,24,FALSE),VLOOKUP($K$13,PR_1,24,FALSE),"")</f>
        <v>6</v>
      </c>
      <c r="G42" s="364" t="str">
        <f>IF(VLOOKUP($K$13,EXAM_1,24,FALSE),VLOOKUP($K$13,EXAM_1,24,FALSE),"")</f>
        <v/>
      </c>
      <c r="H42" s="356">
        <f>SUM(E42:G42)</f>
        <v>6</v>
      </c>
      <c r="I42" s="371" t="str">
        <f>IF(VLOOKUP($K$13,PR_3,24,FALSE),VLOOKUP($K$13,PR_3,24,FALSE),"")</f>
        <v/>
      </c>
      <c r="J42" s="364" t="str">
        <f>IF(VLOOKUP($K$13,PR_4,24,FALSE),VLOOKUP($K$13,PR_4,24,FALSE),"")</f>
        <v/>
      </c>
      <c r="K42" s="364" t="str">
        <f>IF(VLOOKUP($K$13,EXAM_2,24,FALSE),VLOOKUP($K$13,EXAM_2,24,FALSE),"")</f>
        <v/>
      </c>
      <c r="L42" s="204">
        <f>SUM(I42:K42)</f>
        <v>0</v>
      </c>
      <c r="M42" s="205">
        <f t="shared" si="0"/>
        <v>6</v>
      </c>
      <c r="N42" s="109"/>
      <c r="O42" s="234"/>
      <c r="P42" s="234"/>
    </row>
    <row r="43" spans="4:19" s="157" customFormat="1" ht="15.75" thickBot="1" x14ac:dyDescent="0.3">
      <c r="D43" s="210" t="s">
        <v>226</v>
      </c>
      <c r="E43" s="180">
        <v>100</v>
      </c>
      <c r="F43" s="316">
        <v>100</v>
      </c>
      <c r="G43" s="109"/>
      <c r="H43" s="368">
        <v>200</v>
      </c>
      <c r="I43" s="370">
        <v>100</v>
      </c>
      <c r="J43" s="316">
        <v>100</v>
      </c>
      <c r="K43" s="109"/>
      <c r="L43" s="369">
        <v>200</v>
      </c>
      <c r="M43" s="224">
        <f t="shared" si="0"/>
        <v>400</v>
      </c>
      <c r="N43" s="109"/>
      <c r="O43" s="109"/>
      <c r="P43" s="96"/>
    </row>
    <row r="44" spans="4:19" ht="15.75" thickBot="1" x14ac:dyDescent="0.3">
      <c r="D44" s="158" t="s">
        <v>191</v>
      </c>
      <c r="E44" s="315" t="str">
        <f>IF(VLOOKUP($K$13,PR_1,25,FALSE),VLOOKUP($K$13,PR_1,25,FALSE),"")</f>
        <v/>
      </c>
      <c r="F44" s="363"/>
      <c r="G44" s="109"/>
      <c r="H44" s="376"/>
      <c r="I44" s="372"/>
      <c r="J44" s="363"/>
      <c r="K44" s="109"/>
      <c r="L44" s="215"/>
      <c r="M44" s="365"/>
      <c r="N44" s="109"/>
      <c r="O44" s="208"/>
      <c r="P44" s="208"/>
    </row>
    <row r="45" spans="4:19" x14ac:dyDescent="0.25">
      <c r="D45" s="211" t="s">
        <v>230</v>
      </c>
      <c r="E45" s="377">
        <f>'P1'!Z15</f>
        <v>530</v>
      </c>
      <c r="F45" s="212">
        <f>E45</f>
        <v>530</v>
      </c>
      <c r="G45" s="228">
        <f>EXAM1!Z15</f>
        <v>1060</v>
      </c>
      <c r="H45" s="378">
        <f>SUM(E45:G45)</f>
        <v>2120</v>
      </c>
      <c r="I45" s="373">
        <f>E45</f>
        <v>530</v>
      </c>
      <c r="J45" s="212">
        <f>I45</f>
        <v>530</v>
      </c>
      <c r="K45" s="228">
        <f>EXAM2!Z15</f>
        <v>1060</v>
      </c>
      <c r="L45" s="212">
        <f>SUM(I45:K45)</f>
        <v>2120</v>
      </c>
      <c r="M45" s="366">
        <f>SUM(H45,L45)</f>
        <v>4240</v>
      </c>
      <c r="N45" s="109"/>
      <c r="O45" s="109"/>
      <c r="P45" s="96"/>
    </row>
    <row r="46" spans="4:19" x14ac:dyDescent="0.25">
      <c r="D46" s="213" t="s">
        <v>231</v>
      </c>
      <c r="E46" s="379">
        <f t="shared" ref="E46:L46" si="5">SUM(E19:E21,E23:E30,E32:E35,E37:E40,E42,E44)</f>
        <v>96</v>
      </c>
      <c r="F46" s="214">
        <f t="shared" si="5"/>
        <v>58.6</v>
      </c>
      <c r="G46" s="214">
        <f t="shared" si="5"/>
        <v>0</v>
      </c>
      <c r="H46" s="193">
        <f t="shared" si="5"/>
        <v>154.6</v>
      </c>
      <c r="I46" s="374">
        <f t="shared" si="5"/>
        <v>0</v>
      </c>
      <c r="J46" s="214">
        <f t="shared" si="5"/>
        <v>0</v>
      </c>
      <c r="K46" s="214">
        <f t="shared" si="5"/>
        <v>0</v>
      </c>
      <c r="L46" s="214">
        <f t="shared" si="5"/>
        <v>0</v>
      </c>
      <c r="M46" s="194">
        <f>SUM(M19:M21,M23:M30,M32:M35,M37:M40,M42,M44)</f>
        <v>154.6</v>
      </c>
      <c r="N46" s="109"/>
      <c r="O46" s="508" t="s">
        <v>232</v>
      </c>
      <c r="P46" s="509"/>
    </row>
    <row r="47" spans="4:19" s="157" customFormat="1" x14ac:dyDescent="0.25">
      <c r="D47" s="213" t="s">
        <v>159</v>
      </c>
      <c r="E47" s="380">
        <f>E46*100/E45</f>
        <v>18.113207547169811</v>
      </c>
      <c r="F47" s="217">
        <f>F46*100/F45</f>
        <v>11.056603773584905</v>
      </c>
      <c r="G47" s="217">
        <f t="shared" ref="G47:L47" si="6">G46*100/G45</f>
        <v>0</v>
      </c>
      <c r="H47" s="381">
        <f t="shared" si="6"/>
        <v>7.2924528301886795</v>
      </c>
      <c r="I47" s="375">
        <f>I46*100/I45</f>
        <v>0</v>
      </c>
      <c r="J47" s="217">
        <f>J46*100/J45</f>
        <v>0</v>
      </c>
      <c r="K47" s="217">
        <f t="shared" si="6"/>
        <v>0</v>
      </c>
      <c r="L47" s="217">
        <f t="shared" si="6"/>
        <v>0</v>
      </c>
      <c r="M47" s="367">
        <f>M46*100/M45</f>
        <v>3.6462264150943398</v>
      </c>
      <c r="N47" s="109"/>
      <c r="O47" s="508" t="s">
        <v>233</v>
      </c>
      <c r="P47" s="509"/>
    </row>
    <row r="48" spans="4:19" x14ac:dyDescent="0.25">
      <c r="D48" s="213" t="s">
        <v>234</v>
      </c>
      <c r="E48" s="191" t="str">
        <f t="shared" ref="E48" si="7">VLOOKUP($K$13,PR_1,28,FALSE)</f>
        <v>17/49</v>
      </c>
      <c r="F48" s="192" t="str">
        <f>VLOOKUP($K$13,PR_22,28,FALSE)</f>
        <v>33/49</v>
      </c>
      <c r="G48" s="192" t="str">
        <f>VLOOKUP($K$13,EXAM_1,28,FALSE)</f>
        <v>42/49</v>
      </c>
      <c r="H48" s="359" t="str">
        <f>VLOOKUP($K$13,SEM_1,11,FALSE)</f>
        <v>29/49</v>
      </c>
      <c r="I48" s="350" t="str">
        <f>VLOOKUP($K$13,PR_3,28,FALSE)</f>
        <v>42/49</v>
      </c>
      <c r="J48" s="192" t="str">
        <f>VLOOKUP($K$13,PR_4,28,FALSE)</f>
        <v>42/49</v>
      </c>
      <c r="K48" s="192" t="str">
        <f>VLOOKUP($K$13,EXAM_2,28,FALSE)</f>
        <v>42/49</v>
      </c>
      <c r="L48" s="192" t="str">
        <f>VLOOKUP($K$13,SEM_2,11,FALSE)</f>
        <v>42/49</v>
      </c>
      <c r="M48" s="192" t="str">
        <f>VLOOKUP($K$13,TOT,14,FALSE)</f>
        <v>29/49</v>
      </c>
      <c r="N48" s="109"/>
      <c r="O48" s="485" t="s">
        <v>235</v>
      </c>
      <c r="P48" s="495"/>
    </row>
    <row r="49" spans="4:20" s="157" customFormat="1" x14ac:dyDescent="0.25">
      <c r="D49" s="213" t="s">
        <v>236</v>
      </c>
      <c r="E49" s="315" t="str">
        <f>VLOOKUP($K$13,PR_1,29,FALSE)</f>
        <v>B</v>
      </c>
      <c r="F49" s="315" t="str">
        <f>VLOOKUP($K$13,PR_22,29,FALSE)</f>
        <v>B</v>
      </c>
      <c r="G49" s="109"/>
      <c r="H49" s="96"/>
      <c r="I49" s="372" t="str">
        <f>VLOOKUP($K$13,PR_3,29,FALSE)</f>
        <v>B</v>
      </c>
      <c r="J49" s="315" t="str">
        <f>VLOOKUP($K$13,PR_4,29,FALSE)</f>
        <v>B</v>
      </c>
      <c r="K49" s="315" t="str">
        <f>VLOOKUP($K$13,EXAM_2,29,FALSE)</f>
        <v>B</v>
      </c>
      <c r="L49" s="109"/>
      <c r="M49" s="109"/>
      <c r="N49" s="109"/>
      <c r="O49" s="496" t="s">
        <v>237</v>
      </c>
      <c r="P49" s="497"/>
      <c r="S49" s="157" t="s">
        <v>221</v>
      </c>
    </row>
    <row r="50" spans="4:20" x14ac:dyDescent="0.25">
      <c r="D50" s="213" t="s">
        <v>238</v>
      </c>
      <c r="E50" s="218"/>
      <c r="F50" s="227"/>
      <c r="G50" s="109"/>
      <c r="H50" s="96"/>
      <c r="I50" s="220"/>
      <c r="J50" s="219"/>
      <c r="K50" s="227"/>
      <c r="L50" s="109"/>
      <c r="M50" s="109"/>
      <c r="N50" s="109"/>
      <c r="O50" s="498" t="s">
        <v>239</v>
      </c>
      <c r="P50" s="499"/>
    </row>
    <row r="51" spans="4:20" ht="15.75" thickBot="1" x14ac:dyDescent="0.3">
      <c r="D51" s="221" t="s">
        <v>240</v>
      </c>
      <c r="E51" s="500"/>
      <c r="F51" s="501"/>
      <c r="G51" s="502"/>
      <c r="H51" s="503"/>
      <c r="I51" s="504"/>
      <c r="J51" s="504"/>
      <c r="K51" s="504"/>
      <c r="L51" s="504"/>
      <c r="M51" s="504"/>
      <c r="N51" s="505"/>
      <c r="O51" s="506"/>
      <c r="P51" s="507"/>
      <c r="R51" s="155" t="s">
        <v>221</v>
      </c>
    </row>
    <row r="52" spans="4:20" ht="14.25" x14ac:dyDescent="0.2">
      <c r="D52" s="488" t="s">
        <v>241</v>
      </c>
      <c r="E52" s="489"/>
      <c r="F52" s="489"/>
      <c r="G52" s="489"/>
      <c r="H52" s="489"/>
      <c r="I52" s="490"/>
      <c r="J52" s="490"/>
      <c r="K52" s="490"/>
      <c r="L52" s="490"/>
      <c r="M52" s="490"/>
      <c r="N52" s="490"/>
      <c r="O52" s="490"/>
      <c r="P52" s="491"/>
    </row>
    <row r="53" spans="4:20" ht="14.25" x14ac:dyDescent="0.2">
      <c r="D53" s="492" t="s">
        <v>242</v>
      </c>
      <c r="E53" s="493"/>
      <c r="F53" s="493"/>
      <c r="G53" s="493"/>
      <c r="H53" s="493"/>
      <c r="I53" s="493"/>
      <c r="J53" s="493"/>
      <c r="K53" s="493"/>
      <c r="L53" s="493"/>
      <c r="M53" s="493"/>
      <c r="N53" s="493"/>
      <c r="O53" s="493"/>
      <c r="P53" s="494"/>
    </row>
    <row r="54" spans="4:20" ht="14.25" x14ac:dyDescent="0.2">
      <c r="D54" s="492" t="s">
        <v>242</v>
      </c>
      <c r="E54" s="493"/>
      <c r="F54" s="493"/>
      <c r="G54" s="493"/>
      <c r="H54" s="493"/>
      <c r="I54" s="493"/>
      <c r="J54" s="493"/>
      <c r="K54" s="493"/>
      <c r="L54" s="493"/>
      <c r="M54" s="493"/>
      <c r="N54" s="493"/>
      <c r="O54" s="493"/>
      <c r="P54" s="494"/>
    </row>
    <row r="55" spans="4:20" x14ac:dyDescent="0.25">
      <c r="D55" s="484" t="s">
        <v>243</v>
      </c>
      <c r="E55" s="485"/>
      <c r="F55" s="485"/>
      <c r="G55" s="485"/>
      <c r="H55" s="485"/>
      <c r="P55" s="178"/>
      <c r="T55" s="155" t="s">
        <v>221</v>
      </c>
    </row>
    <row r="56" spans="4:20" x14ac:dyDescent="0.25">
      <c r="D56" s="484" t="s">
        <v>244</v>
      </c>
      <c r="E56" s="485"/>
      <c r="F56" s="485"/>
      <c r="G56" s="485"/>
      <c r="H56" s="485"/>
      <c r="N56" s="493"/>
      <c r="O56" s="493"/>
      <c r="P56" s="494"/>
    </row>
    <row r="57" spans="4:20" x14ac:dyDescent="0.25">
      <c r="D57" s="223" t="s">
        <v>245</v>
      </c>
      <c r="E57" s="232"/>
      <c r="F57" s="232"/>
      <c r="G57" s="232"/>
      <c r="H57" s="232"/>
      <c r="P57" s="178"/>
    </row>
    <row r="58" spans="4:20" x14ac:dyDescent="0.25">
      <c r="D58" s="222"/>
      <c r="P58" s="178"/>
    </row>
    <row r="59" spans="4:20" s="157" customFormat="1" ht="15" customHeight="1" x14ac:dyDescent="0.25">
      <c r="D59" s="481" t="s">
        <v>246</v>
      </c>
      <c r="E59" s="482"/>
      <c r="F59" s="482"/>
      <c r="H59" s="482" t="s">
        <v>239</v>
      </c>
      <c r="I59" s="482"/>
      <c r="J59" s="482"/>
      <c r="K59" s="482"/>
      <c r="M59" s="482" t="s">
        <v>247</v>
      </c>
      <c r="N59" s="482"/>
      <c r="O59" s="482"/>
      <c r="P59" s="483"/>
    </row>
    <row r="60" spans="4:20" x14ac:dyDescent="0.25">
      <c r="D60" s="222"/>
      <c r="M60" s="482" t="s">
        <v>248</v>
      </c>
      <c r="N60" s="482"/>
      <c r="O60" s="482"/>
      <c r="P60" s="483"/>
    </row>
    <row r="61" spans="4:20" x14ac:dyDescent="0.25">
      <c r="D61" s="222" t="s">
        <v>249</v>
      </c>
      <c r="P61" s="178"/>
    </row>
    <row r="62" spans="4:20" ht="14.25" x14ac:dyDescent="0.2">
      <c r="D62" s="484" t="s">
        <v>250</v>
      </c>
      <c r="E62" s="485"/>
      <c r="F62" s="485"/>
      <c r="G62" s="485"/>
      <c r="H62" s="485"/>
      <c r="I62" s="485"/>
      <c r="J62" s="485"/>
      <c r="K62" s="485"/>
      <c r="L62" s="485"/>
      <c r="M62" s="485"/>
      <c r="N62" s="485"/>
      <c r="O62" s="486" t="s">
        <v>251</v>
      </c>
      <c r="P62" s="487"/>
    </row>
    <row r="63" spans="4:20" thickBot="1" x14ac:dyDescent="0.25">
      <c r="D63" s="478"/>
      <c r="E63" s="479"/>
      <c r="F63" s="479"/>
      <c r="G63" s="479"/>
      <c r="H63" s="479"/>
      <c r="I63" s="479"/>
      <c r="J63" s="479"/>
      <c r="K63" s="479"/>
      <c r="L63" s="479"/>
      <c r="M63" s="479"/>
      <c r="N63" s="479"/>
      <c r="O63" s="479"/>
      <c r="P63" s="480"/>
    </row>
  </sheetData>
  <mergeCells count="52">
    <mergeCell ref="I13:J13"/>
    <mergeCell ref="K13:P13"/>
    <mergeCell ref="D3:P3"/>
    <mergeCell ref="D4:P4"/>
    <mergeCell ref="D5:P5"/>
    <mergeCell ref="D6:P6"/>
    <mergeCell ref="D8:P8"/>
    <mergeCell ref="I10:J10"/>
    <mergeCell ref="K10:N10"/>
    <mergeCell ref="I11:J11"/>
    <mergeCell ref="K11:N11"/>
    <mergeCell ref="O11:P11"/>
    <mergeCell ref="I12:J12"/>
    <mergeCell ref="K12:P12"/>
    <mergeCell ref="O47:P47"/>
    <mergeCell ref="D14:P14"/>
    <mergeCell ref="D15:D17"/>
    <mergeCell ref="E15:H15"/>
    <mergeCell ref="I15:L15"/>
    <mergeCell ref="M15:M17"/>
    <mergeCell ref="O15:P15"/>
    <mergeCell ref="E16:F16"/>
    <mergeCell ref="G16:G17"/>
    <mergeCell ref="H16:H17"/>
    <mergeCell ref="I16:J16"/>
    <mergeCell ref="K16:K17"/>
    <mergeCell ref="L16:L17"/>
    <mergeCell ref="O16:O17"/>
    <mergeCell ref="P16:P17"/>
    <mergeCell ref="O46:P46"/>
    <mergeCell ref="O48:P48"/>
    <mergeCell ref="O49:P49"/>
    <mergeCell ref="O50:P50"/>
    <mergeCell ref="E51:H51"/>
    <mergeCell ref="I51:N51"/>
    <mergeCell ref="O51:P51"/>
    <mergeCell ref="T7:W7"/>
    <mergeCell ref="T12:W12"/>
    <mergeCell ref="T17:W17"/>
    <mergeCell ref="D63:P63"/>
    <mergeCell ref="D59:F59"/>
    <mergeCell ref="H59:K59"/>
    <mergeCell ref="M59:P59"/>
    <mergeCell ref="M60:P60"/>
    <mergeCell ref="D62:N62"/>
    <mergeCell ref="O62:P62"/>
    <mergeCell ref="D52:P52"/>
    <mergeCell ref="D53:P53"/>
    <mergeCell ref="D54:P54"/>
    <mergeCell ref="D55:H55"/>
    <mergeCell ref="D56:H56"/>
    <mergeCell ref="N56:P56"/>
  </mergeCells>
  <dataValidations count="1">
    <dataValidation type="list" allowBlank="1" showInputMessage="1" showErrorMessage="1" sqref="K13:P13" xr:uid="{85930395-05EA-4EB6-9784-91E882E27F23}">
      <formula1>MAT_LIST</formula1>
    </dataValidation>
  </dataValidations>
  <pageMargins left="0.7" right="0.7" top="0.75" bottom="0.75" header="0.3" footer="0.3"/>
  <pageSetup paperSize="9" scale="62" orientation="portrait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lletin_to_generate_multiple_pdf">
                <anchor moveWithCells="1" sizeWithCells="1">
                  <from>
                    <xdr:col>18</xdr:col>
                    <xdr:colOff>295275</xdr:colOff>
                    <xdr:row>7</xdr:row>
                    <xdr:rowOff>66675</xdr:rowOff>
                  </from>
                  <to>
                    <xdr:col>20</xdr:col>
                    <xdr:colOff>285750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lletinPdf">
                <anchor moveWithCells="1" sizeWithCells="1">
                  <from>
                    <xdr:col>20</xdr:col>
                    <xdr:colOff>447675</xdr:colOff>
                    <xdr:row>7</xdr:row>
                    <xdr:rowOff>85725</xdr:rowOff>
                  </from>
                  <to>
                    <xdr:col>22</xdr:col>
                    <xdr:colOff>485775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ulletin_to_generate_multiple_pdf">
                <anchor moveWithCells="1" sizeWithCells="1">
                  <from>
                    <xdr:col>18</xdr:col>
                    <xdr:colOff>295275</xdr:colOff>
                    <xdr:row>12</xdr:row>
                    <xdr:rowOff>66675</xdr:rowOff>
                  </from>
                  <to>
                    <xdr:col>20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>
                <anchor moveWithCells="1" sizeWithCells="1">
                  <from>
                    <xdr:col>20</xdr:col>
                    <xdr:colOff>447675</xdr:colOff>
                    <xdr:row>12</xdr:row>
                    <xdr:rowOff>85725</xdr:rowOff>
                  </from>
                  <to>
                    <xdr:col>22</xdr:col>
                    <xdr:colOff>485775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BulletinImpressionMultiple">
                <anchor moveWithCells="1" sizeWithCells="1">
                  <from>
                    <xdr:col>18</xdr:col>
                    <xdr:colOff>295275</xdr:colOff>
                    <xdr:row>17</xdr:row>
                    <xdr:rowOff>66675</xdr:rowOff>
                  </from>
                  <to>
                    <xdr:col>20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BulletinImpression">
                <anchor moveWithCells="1" sizeWithCells="1">
                  <from>
                    <xdr:col>20</xdr:col>
                    <xdr:colOff>447675</xdr:colOff>
                    <xdr:row>17</xdr:row>
                    <xdr:rowOff>85725</xdr:rowOff>
                  </from>
                  <to>
                    <xdr:col>22</xdr:col>
                    <xdr:colOff>485775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1AA05-6C08-4E50-A900-506DA8325E34}">
  <sheetPr codeName="Feuil3"/>
  <dimension ref="A6:J120"/>
  <sheetViews>
    <sheetView workbookViewId="0">
      <pane xSplit="6" ySplit="7" topLeftCell="G8" activePane="bottomRight" state="frozenSplit"/>
      <selection activeCell="L2" sqref="L2"/>
      <selection pane="topRight" activeCell="L2" sqref="L2"/>
      <selection pane="bottomLeft" activeCell="L2" sqref="L2"/>
      <selection pane="bottomRight" activeCell="B8" sqref="B8:B120"/>
    </sheetView>
  </sheetViews>
  <sheetFormatPr baseColWidth="10" defaultRowHeight="15" x14ac:dyDescent="0.25"/>
  <cols>
    <col min="1" max="1" width="6.42578125" customWidth="1"/>
    <col min="2" max="2" width="12.7109375" customWidth="1"/>
    <col min="3" max="3" width="45.7109375" customWidth="1"/>
    <col min="4" max="4" width="6.5703125" customWidth="1"/>
    <col min="5" max="5" width="25.7109375" customWidth="1"/>
    <col min="6" max="6" width="11.42578125" customWidth="1"/>
    <col min="7" max="7" width="3.42578125" customWidth="1"/>
  </cols>
  <sheetData>
    <row r="6" spans="1:10" ht="15.75" thickBot="1" x14ac:dyDescent="0.3"/>
    <row r="7" spans="1:10" ht="15.75" thickBot="1" x14ac:dyDescent="0.3">
      <c r="A7" s="39" t="s">
        <v>29</v>
      </c>
      <c r="B7" s="40" t="s">
        <v>20</v>
      </c>
      <c r="C7" s="6" t="s">
        <v>141</v>
      </c>
      <c r="D7" s="6" t="s">
        <v>2</v>
      </c>
      <c r="E7" s="10" t="s">
        <v>3</v>
      </c>
      <c r="F7" s="10" t="s">
        <v>140</v>
      </c>
      <c r="H7" s="48" t="s">
        <v>42</v>
      </c>
      <c r="I7" s="49"/>
      <c r="J7" s="50">
        <v>1</v>
      </c>
    </row>
    <row r="8" spans="1:10" x14ac:dyDescent="0.25">
      <c r="A8" s="52">
        <v>1</v>
      </c>
      <c r="B8" s="78" t="s">
        <v>142</v>
      </c>
      <c r="C8" s="53" t="s">
        <v>48</v>
      </c>
      <c r="D8" s="414" t="s">
        <v>255</v>
      </c>
      <c r="E8" s="5"/>
      <c r="F8" s="5" t="s">
        <v>144</v>
      </c>
    </row>
    <row r="9" spans="1:10" ht="15.75" thickBot="1" x14ac:dyDescent="0.3">
      <c r="A9" s="8">
        <v>2</v>
      </c>
      <c r="B9" s="78" t="s">
        <v>47</v>
      </c>
      <c r="C9" s="51" t="s">
        <v>50</v>
      </c>
      <c r="D9" s="414" t="s">
        <v>149</v>
      </c>
      <c r="E9" s="5"/>
      <c r="F9" s="5" t="s">
        <v>144</v>
      </c>
    </row>
    <row r="10" spans="1:10" ht="19.5" thickBot="1" x14ac:dyDescent="0.35">
      <c r="A10" s="51">
        <v>3</v>
      </c>
      <c r="B10" s="78" t="s">
        <v>49</v>
      </c>
      <c r="C10" s="51" t="s">
        <v>52</v>
      </c>
      <c r="D10" s="414" t="s">
        <v>149</v>
      </c>
      <c r="E10" s="5"/>
      <c r="F10" s="5" t="s">
        <v>144</v>
      </c>
      <c r="H10" s="568" t="s">
        <v>287</v>
      </c>
      <c r="I10" s="569"/>
      <c r="J10" s="570"/>
    </row>
    <row r="11" spans="1:10" ht="15.75" thickBot="1" x14ac:dyDescent="0.3">
      <c r="A11" s="7">
        <v>4</v>
      </c>
      <c r="B11" s="67" t="s">
        <v>51</v>
      </c>
      <c r="C11" s="7" t="s">
        <v>54</v>
      </c>
      <c r="D11" s="415" t="s">
        <v>149</v>
      </c>
      <c r="E11" s="11"/>
      <c r="F11" s="5" t="s">
        <v>144</v>
      </c>
    </row>
    <row r="12" spans="1:10" x14ac:dyDescent="0.25">
      <c r="A12" s="8">
        <v>5</v>
      </c>
      <c r="B12" s="68" t="s">
        <v>53</v>
      </c>
      <c r="C12" s="8" t="s">
        <v>56</v>
      </c>
      <c r="D12" s="415" t="s">
        <v>255</v>
      </c>
      <c r="E12" s="11"/>
      <c r="F12" s="5" t="s">
        <v>260</v>
      </c>
      <c r="H12" s="571" t="s">
        <v>282</v>
      </c>
      <c r="I12" s="571"/>
      <c r="J12" s="571"/>
    </row>
    <row r="13" spans="1:10" x14ac:dyDescent="0.25">
      <c r="A13" s="8">
        <v>6</v>
      </c>
      <c r="B13" s="68" t="s">
        <v>55</v>
      </c>
      <c r="C13" s="8" t="s">
        <v>58</v>
      </c>
      <c r="D13" s="415" t="s">
        <v>255</v>
      </c>
      <c r="E13" s="11"/>
      <c r="F13" s="5" t="s">
        <v>260</v>
      </c>
      <c r="H13" s="413" t="s">
        <v>149</v>
      </c>
      <c r="I13" s="413" t="s">
        <v>255</v>
      </c>
      <c r="J13" s="413" t="s">
        <v>283</v>
      </c>
    </row>
    <row r="14" spans="1:10" x14ac:dyDescent="0.25">
      <c r="A14" s="8">
        <v>7</v>
      </c>
      <c r="B14" s="68" t="s">
        <v>57</v>
      </c>
      <c r="C14" s="8" t="s">
        <v>60</v>
      </c>
      <c r="D14" s="415" t="s">
        <v>255</v>
      </c>
      <c r="E14" s="11"/>
      <c r="F14" s="5" t="s">
        <v>260</v>
      </c>
      <c r="H14" s="38">
        <f>STAT_ELEVE("F","Actif")</f>
        <v>20</v>
      </c>
      <c r="I14" s="38">
        <f>STAT_ELEVE("M","Actif")</f>
        <v>22</v>
      </c>
      <c r="J14" s="38">
        <f>SUM(H14:I14)</f>
        <v>42</v>
      </c>
    </row>
    <row r="15" spans="1:10" ht="15.75" thickBot="1" x14ac:dyDescent="0.3">
      <c r="A15" s="8">
        <v>8</v>
      </c>
      <c r="B15" s="68" t="s">
        <v>59</v>
      </c>
      <c r="C15" s="8" t="s">
        <v>62</v>
      </c>
      <c r="D15" s="415" t="s">
        <v>255</v>
      </c>
      <c r="E15" s="11"/>
      <c r="F15" s="5" t="s">
        <v>260</v>
      </c>
    </row>
    <row r="16" spans="1:10" x14ac:dyDescent="0.25">
      <c r="A16" s="8">
        <v>9</v>
      </c>
      <c r="B16" s="68" t="s">
        <v>61</v>
      </c>
      <c r="C16" s="8" t="s">
        <v>64</v>
      </c>
      <c r="D16" s="415" t="s">
        <v>255</v>
      </c>
      <c r="E16" s="11"/>
      <c r="F16" s="5" t="s">
        <v>144</v>
      </c>
      <c r="H16" s="572" t="s">
        <v>284</v>
      </c>
      <c r="I16" s="572"/>
      <c r="J16" s="572"/>
    </row>
    <row r="17" spans="1:10" x14ac:dyDescent="0.25">
      <c r="A17" s="8">
        <v>10</v>
      </c>
      <c r="B17" s="68" t="s">
        <v>63</v>
      </c>
      <c r="C17" s="8" t="s">
        <v>66</v>
      </c>
      <c r="D17" s="415" t="s">
        <v>255</v>
      </c>
      <c r="E17" s="11"/>
      <c r="F17" s="5" t="s">
        <v>260</v>
      </c>
      <c r="H17" s="413" t="s">
        <v>149</v>
      </c>
      <c r="I17" s="413" t="s">
        <v>255</v>
      </c>
      <c r="J17" s="413" t="s">
        <v>283</v>
      </c>
    </row>
    <row r="18" spans="1:10" x14ac:dyDescent="0.25">
      <c r="A18" s="8">
        <v>11</v>
      </c>
      <c r="B18" s="68" t="s">
        <v>65</v>
      </c>
      <c r="C18" s="8" t="s">
        <v>68</v>
      </c>
      <c r="D18" s="415" t="s">
        <v>255</v>
      </c>
      <c r="E18" s="11"/>
      <c r="F18" s="5" t="s">
        <v>260</v>
      </c>
      <c r="H18" s="38">
        <f>STAT_ELEVE("F","Abandon")</f>
        <v>3</v>
      </c>
      <c r="I18" s="38">
        <f>STAT_ELEVE("M","Abandon")</f>
        <v>4</v>
      </c>
      <c r="J18" s="38">
        <f>SUM(H18:I18)</f>
        <v>7</v>
      </c>
    </row>
    <row r="19" spans="1:10" ht="15.75" thickBot="1" x14ac:dyDescent="0.3">
      <c r="A19" s="8">
        <v>12</v>
      </c>
      <c r="B19" s="68" t="s">
        <v>67</v>
      </c>
      <c r="C19" s="8" t="s">
        <v>70</v>
      </c>
      <c r="D19" s="415" t="s">
        <v>255</v>
      </c>
      <c r="E19" s="11"/>
      <c r="F19" s="5" t="s">
        <v>144</v>
      </c>
      <c r="H19" s="417"/>
    </row>
    <row r="20" spans="1:10" x14ac:dyDescent="0.25">
      <c r="A20" s="8">
        <v>13</v>
      </c>
      <c r="B20" s="68" t="s">
        <v>69</v>
      </c>
      <c r="C20" s="8" t="s">
        <v>72</v>
      </c>
      <c r="D20" s="415" t="s">
        <v>255</v>
      </c>
      <c r="E20" s="11"/>
      <c r="F20" s="5" t="s">
        <v>260</v>
      </c>
      <c r="H20" s="572" t="s">
        <v>285</v>
      </c>
      <c r="I20" s="572"/>
      <c r="J20" s="572"/>
    </row>
    <row r="21" spans="1:10" x14ac:dyDescent="0.25">
      <c r="A21" s="8">
        <v>14</v>
      </c>
      <c r="B21" s="68" t="s">
        <v>71</v>
      </c>
      <c r="C21" s="8" t="s">
        <v>74</v>
      </c>
      <c r="D21" s="415" t="s">
        <v>149</v>
      </c>
      <c r="E21" s="11"/>
      <c r="F21" s="5" t="s">
        <v>260</v>
      </c>
      <c r="H21" s="413" t="s">
        <v>149</v>
      </c>
      <c r="I21" s="413" t="s">
        <v>255</v>
      </c>
      <c r="J21" s="413" t="s">
        <v>283</v>
      </c>
    </row>
    <row r="22" spans="1:10" x14ac:dyDescent="0.25">
      <c r="A22" s="8">
        <v>15</v>
      </c>
      <c r="B22" s="68" t="s">
        <v>73</v>
      </c>
      <c r="C22" s="8" t="s">
        <v>76</v>
      </c>
      <c r="D22" s="415" t="s">
        <v>149</v>
      </c>
      <c r="E22" s="11"/>
      <c r="F22" s="5" t="s">
        <v>260</v>
      </c>
      <c r="H22" s="38">
        <f>STAT_ELEVE("F","")</f>
        <v>23</v>
      </c>
      <c r="I22" s="38">
        <f>STAT_ELEVE("M","")</f>
        <v>26</v>
      </c>
      <c r="J22" s="38">
        <f>SUM(H22:I22)</f>
        <v>49</v>
      </c>
    </row>
    <row r="23" spans="1:10" ht="15.75" thickBot="1" x14ac:dyDescent="0.3">
      <c r="A23" s="8">
        <v>16</v>
      </c>
      <c r="B23" s="68" t="s">
        <v>75</v>
      </c>
      <c r="C23" s="8" t="s">
        <v>78</v>
      </c>
      <c r="D23" s="415" t="s">
        <v>255</v>
      </c>
      <c r="E23" s="11"/>
      <c r="F23" s="5" t="s">
        <v>260</v>
      </c>
    </row>
    <row r="24" spans="1:10" x14ac:dyDescent="0.25">
      <c r="A24" s="8">
        <v>17</v>
      </c>
      <c r="B24" s="68" t="s">
        <v>77</v>
      </c>
      <c r="C24" s="8" t="s">
        <v>80</v>
      </c>
      <c r="D24" s="415" t="s">
        <v>255</v>
      </c>
      <c r="E24" s="11"/>
      <c r="F24" s="5" t="s">
        <v>260</v>
      </c>
      <c r="H24" s="559" t="s">
        <v>286</v>
      </c>
      <c r="I24" s="560"/>
      <c r="J24" s="561"/>
    </row>
    <row r="25" spans="1:10" x14ac:dyDescent="0.25">
      <c r="A25" s="8">
        <v>18</v>
      </c>
      <c r="B25" s="68" t="s">
        <v>79</v>
      </c>
      <c r="C25" s="8" t="s">
        <v>82</v>
      </c>
      <c r="D25" s="415" t="s">
        <v>255</v>
      </c>
      <c r="E25" s="11"/>
      <c r="F25" s="5" t="s">
        <v>144</v>
      </c>
      <c r="H25" s="562"/>
      <c r="I25" s="563"/>
      <c r="J25" s="564"/>
    </row>
    <row r="26" spans="1:10" x14ac:dyDescent="0.25">
      <c r="A26" s="8">
        <v>19</v>
      </c>
      <c r="B26" s="68" t="s">
        <v>81</v>
      </c>
      <c r="C26" s="8" t="s">
        <v>84</v>
      </c>
      <c r="D26" s="415" t="s">
        <v>149</v>
      </c>
      <c r="E26" s="11"/>
      <c r="F26" s="5" t="s">
        <v>260</v>
      </c>
      <c r="H26" s="562"/>
      <c r="I26" s="563"/>
      <c r="J26" s="564"/>
    </row>
    <row r="27" spans="1:10" x14ac:dyDescent="0.25">
      <c r="A27" s="8">
        <v>20</v>
      </c>
      <c r="B27" s="68" t="s">
        <v>83</v>
      </c>
      <c r="C27" s="8" t="s">
        <v>86</v>
      </c>
      <c r="D27" s="415" t="s">
        <v>149</v>
      </c>
      <c r="E27" s="11"/>
      <c r="F27" s="5" t="s">
        <v>260</v>
      </c>
      <c r="H27" s="562"/>
      <c r="I27" s="563"/>
      <c r="J27" s="564"/>
    </row>
    <row r="28" spans="1:10" ht="15.75" thickBot="1" x14ac:dyDescent="0.3">
      <c r="A28" s="8">
        <v>21</v>
      </c>
      <c r="B28" s="68" t="s">
        <v>85</v>
      </c>
      <c r="C28" s="8" t="s">
        <v>88</v>
      </c>
      <c r="D28" s="415" t="s">
        <v>149</v>
      </c>
      <c r="E28" s="11"/>
      <c r="F28" s="5" t="s">
        <v>260</v>
      </c>
      <c r="H28" s="565"/>
      <c r="I28" s="566"/>
      <c r="J28" s="567"/>
    </row>
    <row r="29" spans="1:10" x14ac:dyDescent="0.25">
      <c r="A29" s="8">
        <v>22</v>
      </c>
      <c r="B29" s="68" t="s">
        <v>87</v>
      </c>
      <c r="C29" s="8" t="s">
        <v>90</v>
      </c>
      <c r="D29" s="415" t="s">
        <v>149</v>
      </c>
      <c r="E29" s="11"/>
      <c r="F29" s="5" t="s">
        <v>260</v>
      </c>
    </row>
    <row r="30" spans="1:10" x14ac:dyDescent="0.25">
      <c r="A30" s="8">
        <v>23</v>
      </c>
      <c r="B30" s="68" t="s">
        <v>89</v>
      </c>
      <c r="C30" s="8" t="s">
        <v>92</v>
      </c>
      <c r="D30" s="415" t="s">
        <v>149</v>
      </c>
      <c r="E30" s="11"/>
      <c r="F30" s="5" t="s">
        <v>260</v>
      </c>
    </row>
    <row r="31" spans="1:10" x14ac:dyDescent="0.25">
      <c r="A31" s="8">
        <v>24</v>
      </c>
      <c r="B31" s="68" t="s">
        <v>91</v>
      </c>
      <c r="C31" s="8" t="s">
        <v>94</v>
      </c>
      <c r="D31" s="415" t="s">
        <v>255</v>
      </c>
      <c r="E31" s="11"/>
      <c r="F31" s="5" t="s">
        <v>260</v>
      </c>
    </row>
    <row r="32" spans="1:10" x14ac:dyDescent="0.25">
      <c r="A32" s="8">
        <v>25</v>
      </c>
      <c r="B32" s="68" t="s">
        <v>93</v>
      </c>
      <c r="C32" s="8" t="s">
        <v>96</v>
      </c>
      <c r="D32" s="415" t="s">
        <v>255</v>
      </c>
      <c r="E32" s="11"/>
      <c r="F32" s="5" t="s">
        <v>260</v>
      </c>
    </row>
    <row r="33" spans="1:6" x14ac:dyDescent="0.25">
      <c r="A33" s="8">
        <v>26</v>
      </c>
      <c r="B33" s="68" t="s">
        <v>95</v>
      </c>
      <c r="C33" s="8" t="s">
        <v>98</v>
      </c>
      <c r="D33" s="415" t="s">
        <v>149</v>
      </c>
      <c r="E33" s="11"/>
      <c r="F33" s="5" t="s">
        <v>260</v>
      </c>
    </row>
    <row r="34" spans="1:6" x14ac:dyDescent="0.25">
      <c r="A34" s="8">
        <v>27</v>
      </c>
      <c r="B34" s="68" t="s">
        <v>97</v>
      </c>
      <c r="C34" s="8" t="s">
        <v>100</v>
      </c>
      <c r="D34" s="415" t="s">
        <v>255</v>
      </c>
      <c r="E34" s="11"/>
      <c r="F34" s="5" t="s">
        <v>260</v>
      </c>
    </row>
    <row r="35" spans="1:6" x14ac:dyDescent="0.25">
      <c r="A35" s="8">
        <v>28</v>
      </c>
      <c r="B35" s="68" t="s">
        <v>99</v>
      </c>
      <c r="C35" s="8" t="s">
        <v>102</v>
      </c>
      <c r="D35" s="415" t="s">
        <v>255</v>
      </c>
      <c r="E35" s="11"/>
      <c r="F35" s="5" t="s">
        <v>260</v>
      </c>
    </row>
    <row r="36" spans="1:6" x14ac:dyDescent="0.25">
      <c r="A36" s="8">
        <v>29</v>
      </c>
      <c r="B36" s="68" t="s">
        <v>101</v>
      </c>
      <c r="C36" s="8" t="s">
        <v>104</v>
      </c>
      <c r="D36" s="415" t="s">
        <v>149</v>
      </c>
      <c r="E36" s="11"/>
      <c r="F36" s="5" t="s">
        <v>260</v>
      </c>
    </row>
    <row r="37" spans="1:6" x14ac:dyDescent="0.25">
      <c r="A37" s="8">
        <v>30</v>
      </c>
      <c r="B37" s="68" t="s">
        <v>103</v>
      </c>
      <c r="C37" s="8" t="s">
        <v>106</v>
      </c>
      <c r="D37" s="415" t="s">
        <v>149</v>
      </c>
      <c r="E37" s="11"/>
      <c r="F37" s="5" t="s">
        <v>260</v>
      </c>
    </row>
    <row r="38" spans="1:6" x14ac:dyDescent="0.25">
      <c r="A38" s="8">
        <v>31</v>
      </c>
      <c r="B38" s="68" t="s">
        <v>105</v>
      </c>
      <c r="C38" s="8" t="s">
        <v>108</v>
      </c>
      <c r="D38" s="415" t="s">
        <v>149</v>
      </c>
      <c r="E38" s="11"/>
      <c r="F38" s="5" t="s">
        <v>260</v>
      </c>
    </row>
    <row r="39" spans="1:6" x14ac:dyDescent="0.25">
      <c r="A39" s="8">
        <v>32</v>
      </c>
      <c r="B39" s="68" t="s">
        <v>107</v>
      </c>
      <c r="C39" s="8" t="s">
        <v>110</v>
      </c>
      <c r="D39" s="415" t="s">
        <v>255</v>
      </c>
      <c r="E39" s="11"/>
      <c r="F39" s="5" t="s">
        <v>260</v>
      </c>
    </row>
    <row r="40" spans="1:6" x14ac:dyDescent="0.25">
      <c r="A40" s="8">
        <v>33</v>
      </c>
      <c r="B40" s="68" t="s">
        <v>109</v>
      </c>
      <c r="C40" s="8" t="s">
        <v>112</v>
      </c>
      <c r="D40" s="415" t="s">
        <v>149</v>
      </c>
      <c r="E40" s="11"/>
      <c r="F40" s="5" t="s">
        <v>260</v>
      </c>
    </row>
    <row r="41" spans="1:6" x14ac:dyDescent="0.25">
      <c r="A41" s="8">
        <v>34</v>
      </c>
      <c r="B41" s="68" t="s">
        <v>111</v>
      </c>
      <c r="C41" s="8" t="s">
        <v>114</v>
      </c>
      <c r="D41" s="415" t="s">
        <v>149</v>
      </c>
      <c r="E41" s="11"/>
      <c r="F41" s="5" t="s">
        <v>260</v>
      </c>
    </row>
    <row r="42" spans="1:6" x14ac:dyDescent="0.25">
      <c r="A42" s="8">
        <v>35</v>
      </c>
      <c r="B42" s="68" t="s">
        <v>113</v>
      </c>
      <c r="C42" s="8" t="s">
        <v>116</v>
      </c>
      <c r="D42" s="415" t="s">
        <v>149</v>
      </c>
      <c r="E42" s="11"/>
      <c r="F42" s="5" t="s">
        <v>260</v>
      </c>
    </row>
    <row r="43" spans="1:6" x14ac:dyDescent="0.25">
      <c r="A43" s="8">
        <v>36</v>
      </c>
      <c r="B43" s="68" t="s">
        <v>115</v>
      </c>
      <c r="C43" s="8" t="s">
        <v>118</v>
      </c>
      <c r="D43" s="415" t="s">
        <v>149</v>
      </c>
      <c r="E43" s="11"/>
      <c r="F43" s="5" t="s">
        <v>260</v>
      </c>
    </row>
    <row r="44" spans="1:6" x14ac:dyDescent="0.25">
      <c r="A44" s="8">
        <v>37</v>
      </c>
      <c r="B44" s="68" t="s">
        <v>117</v>
      </c>
      <c r="C44" s="8" t="s">
        <v>120</v>
      </c>
      <c r="D44" s="415" t="s">
        <v>255</v>
      </c>
      <c r="E44" s="11"/>
      <c r="F44" s="5" t="s">
        <v>260</v>
      </c>
    </row>
    <row r="45" spans="1:6" x14ac:dyDescent="0.25">
      <c r="A45" s="8">
        <v>38</v>
      </c>
      <c r="B45" s="68" t="s">
        <v>119</v>
      </c>
      <c r="C45" s="8" t="s">
        <v>122</v>
      </c>
      <c r="D45" s="415" t="s">
        <v>255</v>
      </c>
      <c r="E45" s="11"/>
      <c r="F45" s="5" t="s">
        <v>260</v>
      </c>
    </row>
    <row r="46" spans="1:6" x14ac:dyDescent="0.25">
      <c r="A46" s="8">
        <v>39</v>
      </c>
      <c r="B46" s="68" t="s">
        <v>121</v>
      </c>
      <c r="C46" s="8" t="s">
        <v>124</v>
      </c>
      <c r="D46" s="415" t="s">
        <v>255</v>
      </c>
      <c r="E46" s="11"/>
      <c r="F46" s="5" t="s">
        <v>260</v>
      </c>
    </row>
    <row r="47" spans="1:6" x14ac:dyDescent="0.25">
      <c r="A47" s="8">
        <v>40</v>
      </c>
      <c r="B47" s="68" t="s">
        <v>123</v>
      </c>
      <c r="C47" s="8" t="s">
        <v>126</v>
      </c>
      <c r="D47" s="415" t="s">
        <v>255</v>
      </c>
      <c r="E47" s="11"/>
      <c r="F47" s="5" t="s">
        <v>260</v>
      </c>
    </row>
    <row r="48" spans="1:6" x14ac:dyDescent="0.25">
      <c r="A48" s="8">
        <v>41</v>
      </c>
      <c r="B48" s="68" t="s">
        <v>125</v>
      </c>
      <c r="C48" s="8" t="s">
        <v>128</v>
      </c>
      <c r="D48" s="415" t="s">
        <v>255</v>
      </c>
      <c r="E48" s="11"/>
      <c r="F48" s="5" t="s">
        <v>260</v>
      </c>
    </row>
    <row r="49" spans="1:6" x14ac:dyDescent="0.25">
      <c r="A49" s="8">
        <v>42</v>
      </c>
      <c r="B49" s="68" t="s">
        <v>127</v>
      </c>
      <c r="C49" s="8" t="s">
        <v>130</v>
      </c>
      <c r="D49" s="415" t="s">
        <v>255</v>
      </c>
      <c r="E49" s="11"/>
      <c r="F49" s="5" t="s">
        <v>260</v>
      </c>
    </row>
    <row r="50" spans="1:6" x14ac:dyDescent="0.25">
      <c r="A50" s="8">
        <v>43</v>
      </c>
      <c r="B50" s="68" t="s">
        <v>129</v>
      </c>
      <c r="C50" s="8" t="s">
        <v>132</v>
      </c>
      <c r="D50" s="415" t="s">
        <v>149</v>
      </c>
      <c r="E50" s="11"/>
      <c r="F50" s="5" t="s">
        <v>260</v>
      </c>
    </row>
    <row r="51" spans="1:6" x14ac:dyDescent="0.25">
      <c r="A51" s="8">
        <v>44</v>
      </c>
      <c r="B51" s="68" t="s">
        <v>131</v>
      </c>
      <c r="C51" s="8" t="s">
        <v>134</v>
      </c>
      <c r="D51" s="415" t="s">
        <v>149</v>
      </c>
      <c r="E51" s="11"/>
      <c r="F51" s="5" t="s">
        <v>260</v>
      </c>
    </row>
    <row r="52" spans="1:6" x14ac:dyDescent="0.25">
      <c r="A52" s="8">
        <v>45</v>
      </c>
      <c r="B52" s="68" t="s">
        <v>133</v>
      </c>
      <c r="C52" s="8" t="s">
        <v>136</v>
      </c>
      <c r="D52" s="415" t="s">
        <v>149</v>
      </c>
      <c r="E52" s="11"/>
      <c r="F52" s="5" t="s">
        <v>260</v>
      </c>
    </row>
    <row r="53" spans="1:6" x14ac:dyDescent="0.25">
      <c r="A53" s="8">
        <v>46</v>
      </c>
      <c r="B53" s="68" t="s">
        <v>135</v>
      </c>
      <c r="C53" s="8" t="s">
        <v>138</v>
      </c>
      <c r="D53" s="415" t="s">
        <v>149</v>
      </c>
      <c r="E53" s="11"/>
      <c r="F53" s="5" t="s">
        <v>260</v>
      </c>
    </row>
    <row r="54" spans="1:6" x14ac:dyDescent="0.25">
      <c r="A54" s="8">
        <v>47</v>
      </c>
      <c r="B54" s="68" t="s">
        <v>137</v>
      </c>
      <c r="C54" s="8" t="s">
        <v>139</v>
      </c>
      <c r="D54" s="415" t="s">
        <v>255</v>
      </c>
      <c r="E54" s="11"/>
      <c r="F54" s="5" t="s">
        <v>260</v>
      </c>
    </row>
    <row r="55" spans="1:6" x14ac:dyDescent="0.25">
      <c r="A55" s="8">
        <v>48</v>
      </c>
      <c r="B55" s="68" t="s">
        <v>147</v>
      </c>
      <c r="C55" s="8" t="s">
        <v>148</v>
      </c>
      <c r="D55" s="415" t="s">
        <v>149</v>
      </c>
      <c r="E55" s="11" t="s">
        <v>150</v>
      </c>
      <c r="F55" s="5" t="s">
        <v>260</v>
      </c>
    </row>
    <row r="56" spans="1:6" x14ac:dyDescent="0.25">
      <c r="A56" s="8">
        <v>49</v>
      </c>
      <c r="B56" s="68" t="s">
        <v>253</v>
      </c>
      <c r="C56" s="8" t="s">
        <v>254</v>
      </c>
      <c r="D56" s="415" t="s">
        <v>255</v>
      </c>
      <c r="E56" s="11" t="s">
        <v>256</v>
      </c>
      <c r="F56" s="5" t="s">
        <v>260</v>
      </c>
    </row>
    <row r="57" spans="1:6" x14ac:dyDescent="0.25">
      <c r="A57" s="8"/>
      <c r="B57" s="68"/>
      <c r="C57" s="8"/>
      <c r="D57" s="415"/>
      <c r="E57" s="11"/>
      <c r="F57" s="5"/>
    </row>
    <row r="58" spans="1:6" x14ac:dyDescent="0.25">
      <c r="A58" s="8"/>
      <c r="B58" s="68"/>
      <c r="C58" s="8"/>
      <c r="D58" s="415"/>
      <c r="E58" s="11"/>
      <c r="F58" s="5"/>
    </row>
    <row r="59" spans="1:6" x14ac:dyDescent="0.25">
      <c r="A59" s="8"/>
      <c r="B59" s="68"/>
      <c r="C59" s="8"/>
      <c r="D59" s="415"/>
      <c r="E59" s="11"/>
      <c r="F59" s="5"/>
    </row>
    <row r="60" spans="1:6" x14ac:dyDescent="0.25">
      <c r="A60" s="8"/>
      <c r="B60" s="68"/>
      <c r="C60" s="8"/>
      <c r="D60" s="415"/>
      <c r="E60" s="11"/>
      <c r="F60" s="5"/>
    </row>
    <row r="61" spans="1:6" x14ac:dyDescent="0.25">
      <c r="A61" s="8"/>
      <c r="B61" s="68"/>
      <c r="C61" s="8"/>
      <c r="D61" s="415"/>
      <c r="E61" s="11"/>
      <c r="F61" s="5"/>
    </row>
    <row r="62" spans="1:6" x14ac:dyDescent="0.25">
      <c r="A62" s="8"/>
      <c r="B62" s="68"/>
      <c r="C62" s="8"/>
      <c r="D62" s="415"/>
      <c r="E62" s="11"/>
      <c r="F62" s="5"/>
    </row>
    <row r="63" spans="1:6" x14ac:dyDescent="0.25">
      <c r="A63" s="8"/>
      <c r="B63" s="68"/>
      <c r="C63" s="8"/>
      <c r="D63" s="415"/>
      <c r="E63" s="11"/>
      <c r="F63" s="5"/>
    </row>
    <row r="64" spans="1:6" x14ac:dyDescent="0.25">
      <c r="A64" s="8"/>
      <c r="B64" s="68"/>
      <c r="C64" s="8"/>
      <c r="D64" s="415"/>
      <c r="E64" s="11"/>
      <c r="F64" s="5"/>
    </row>
    <row r="65" spans="1:6" x14ac:dyDescent="0.25">
      <c r="A65" s="8"/>
      <c r="B65" s="68"/>
      <c r="C65" s="8"/>
      <c r="D65" s="415"/>
      <c r="E65" s="11"/>
      <c r="F65" s="5"/>
    </row>
    <row r="66" spans="1:6" x14ac:dyDescent="0.25">
      <c r="A66" s="8"/>
      <c r="B66" s="68"/>
      <c r="C66" s="8"/>
      <c r="D66" s="415"/>
      <c r="E66" s="11"/>
      <c r="F66" s="5"/>
    </row>
    <row r="67" spans="1:6" x14ac:dyDescent="0.25">
      <c r="A67" s="8"/>
      <c r="B67" s="68"/>
      <c r="C67" s="8"/>
      <c r="D67" s="415"/>
      <c r="E67" s="11"/>
      <c r="F67" s="5"/>
    </row>
    <row r="68" spans="1:6" x14ac:dyDescent="0.25">
      <c r="A68" s="8"/>
      <c r="B68" s="68"/>
      <c r="C68" s="8"/>
      <c r="D68" s="415"/>
      <c r="E68" s="11"/>
      <c r="F68" s="5"/>
    </row>
    <row r="69" spans="1:6" x14ac:dyDescent="0.25">
      <c r="A69" s="8"/>
      <c r="B69" s="68"/>
      <c r="C69" s="8"/>
      <c r="D69" s="415"/>
      <c r="E69" s="11"/>
      <c r="F69" s="5"/>
    </row>
    <row r="70" spans="1:6" x14ac:dyDescent="0.25">
      <c r="A70" s="8"/>
      <c r="B70" s="68"/>
      <c r="C70" s="8"/>
      <c r="D70" s="415"/>
      <c r="E70" s="11"/>
      <c r="F70" s="5"/>
    </row>
    <row r="71" spans="1:6" x14ac:dyDescent="0.25">
      <c r="A71" s="8"/>
      <c r="B71" s="68"/>
      <c r="C71" s="8"/>
      <c r="D71" s="415"/>
      <c r="E71" s="11"/>
      <c r="F71" s="5"/>
    </row>
    <row r="72" spans="1:6" x14ac:dyDescent="0.25">
      <c r="A72" s="8"/>
      <c r="B72" s="68"/>
      <c r="C72" s="8"/>
      <c r="D72" s="415"/>
      <c r="E72" s="11"/>
      <c r="F72" s="5"/>
    </row>
    <row r="73" spans="1:6" x14ac:dyDescent="0.25">
      <c r="A73" s="8"/>
      <c r="B73" s="68"/>
      <c r="C73" s="8"/>
      <c r="D73" s="415"/>
      <c r="E73" s="11"/>
      <c r="F73" s="5"/>
    </row>
    <row r="74" spans="1:6" x14ac:dyDescent="0.25">
      <c r="A74" s="8"/>
      <c r="B74" s="68"/>
      <c r="C74" s="8"/>
      <c r="D74" s="415"/>
      <c r="E74" s="11"/>
      <c r="F74" s="5"/>
    </row>
    <row r="75" spans="1:6" x14ac:dyDescent="0.25">
      <c r="A75" s="8"/>
      <c r="B75" s="68"/>
      <c r="C75" s="8"/>
      <c r="D75" s="415"/>
      <c r="E75" s="11"/>
      <c r="F75" s="5"/>
    </row>
    <row r="76" spans="1:6" x14ac:dyDescent="0.25">
      <c r="A76" s="8"/>
      <c r="B76" s="68"/>
      <c r="C76" s="8"/>
      <c r="D76" s="415"/>
      <c r="E76" s="11"/>
      <c r="F76" s="5"/>
    </row>
    <row r="77" spans="1:6" x14ac:dyDescent="0.25">
      <c r="A77" s="8"/>
      <c r="B77" s="68"/>
      <c r="C77" s="8"/>
      <c r="D77" s="415"/>
      <c r="E77" s="11"/>
      <c r="F77" s="5"/>
    </row>
    <row r="78" spans="1:6" x14ac:dyDescent="0.25">
      <c r="A78" s="8"/>
      <c r="B78" s="68"/>
      <c r="C78" s="8"/>
      <c r="D78" s="415"/>
      <c r="E78" s="11"/>
      <c r="F78" s="5"/>
    </row>
    <row r="79" spans="1:6" x14ac:dyDescent="0.25">
      <c r="A79" s="8"/>
      <c r="B79" s="68"/>
      <c r="C79" s="8"/>
      <c r="D79" s="415"/>
      <c r="E79" s="11"/>
      <c r="F79" s="5"/>
    </row>
    <row r="80" spans="1:6" x14ac:dyDescent="0.25">
      <c r="A80" s="8"/>
      <c r="B80" s="68"/>
      <c r="C80" s="8"/>
      <c r="D80" s="415"/>
      <c r="E80" s="11"/>
      <c r="F80" s="5"/>
    </row>
    <row r="81" spans="1:6" x14ac:dyDescent="0.25">
      <c r="A81" s="8"/>
      <c r="B81" s="68"/>
      <c r="C81" s="8"/>
      <c r="D81" s="415"/>
      <c r="E81" s="11"/>
      <c r="F81" s="5"/>
    </row>
    <row r="82" spans="1:6" x14ac:dyDescent="0.25">
      <c r="A82" s="8"/>
      <c r="B82" s="68"/>
      <c r="C82" s="8"/>
      <c r="D82" s="415"/>
      <c r="E82" s="11"/>
      <c r="F82" s="5"/>
    </row>
    <row r="83" spans="1:6" x14ac:dyDescent="0.25">
      <c r="A83" s="8"/>
      <c r="B83" s="68"/>
      <c r="C83" s="8"/>
      <c r="D83" s="415"/>
      <c r="E83" s="11"/>
      <c r="F83" s="5"/>
    </row>
    <row r="84" spans="1:6" x14ac:dyDescent="0.25">
      <c r="A84" s="8"/>
      <c r="B84" s="68"/>
      <c r="C84" s="8"/>
      <c r="D84" s="415"/>
      <c r="E84" s="11"/>
      <c r="F84" s="5"/>
    </row>
    <row r="85" spans="1:6" x14ac:dyDescent="0.25">
      <c r="A85" s="8"/>
      <c r="B85" s="68"/>
      <c r="C85" s="8"/>
      <c r="D85" s="415"/>
      <c r="E85" s="11"/>
      <c r="F85" s="5"/>
    </row>
    <row r="86" spans="1:6" x14ac:dyDescent="0.25">
      <c r="A86" s="8"/>
      <c r="B86" s="68"/>
      <c r="C86" s="8"/>
      <c r="D86" s="415"/>
      <c r="E86" s="11"/>
      <c r="F86" s="5"/>
    </row>
    <row r="87" spans="1:6" x14ac:dyDescent="0.25">
      <c r="A87" s="8"/>
      <c r="B87" s="68"/>
      <c r="C87" s="8"/>
      <c r="D87" s="415"/>
      <c r="E87" s="11"/>
      <c r="F87" s="5"/>
    </row>
    <row r="88" spans="1:6" x14ac:dyDescent="0.25">
      <c r="A88" s="8"/>
      <c r="B88" s="68"/>
      <c r="C88" s="8"/>
      <c r="D88" s="415"/>
      <c r="E88" s="11"/>
      <c r="F88" s="5"/>
    </row>
    <row r="89" spans="1:6" x14ac:dyDescent="0.25">
      <c r="A89" s="8"/>
      <c r="B89" s="68"/>
      <c r="C89" s="8"/>
      <c r="D89" s="415"/>
      <c r="E89" s="11"/>
      <c r="F89" s="5"/>
    </row>
    <row r="90" spans="1:6" x14ac:dyDescent="0.25">
      <c r="A90" s="8"/>
      <c r="B90" s="68"/>
      <c r="C90" s="8"/>
      <c r="D90" s="415"/>
      <c r="E90" s="11"/>
      <c r="F90" s="5"/>
    </row>
    <row r="91" spans="1:6" x14ac:dyDescent="0.25">
      <c r="A91" s="8"/>
      <c r="B91" s="68"/>
      <c r="C91" s="8"/>
      <c r="D91" s="415"/>
      <c r="E91" s="11"/>
      <c r="F91" s="5"/>
    </row>
    <row r="92" spans="1:6" x14ac:dyDescent="0.25">
      <c r="A92" s="8"/>
      <c r="B92" s="68"/>
      <c r="C92" s="8"/>
      <c r="D92" s="415"/>
      <c r="E92" s="11"/>
      <c r="F92" s="5"/>
    </row>
    <row r="93" spans="1:6" x14ac:dyDescent="0.25">
      <c r="A93" s="8"/>
      <c r="B93" s="68"/>
      <c r="C93" s="8"/>
      <c r="D93" s="415"/>
      <c r="E93" s="11"/>
      <c r="F93" s="5"/>
    </row>
    <row r="94" spans="1:6" x14ac:dyDescent="0.25">
      <c r="A94" s="8"/>
      <c r="B94" s="68"/>
      <c r="C94" s="8"/>
      <c r="D94" s="415"/>
      <c r="E94" s="11"/>
      <c r="F94" s="5"/>
    </row>
    <row r="95" spans="1:6" x14ac:dyDescent="0.25">
      <c r="A95" s="8"/>
      <c r="B95" s="68"/>
      <c r="C95" s="8"/>
      <c r="D95" s="415"/>
      <c r="E95" s="11"/>
      <c r="F95" s="5"/>
    </row>
    <row r="96" spans="1:6" x14ac:dyDescent="0.25">
      <c r="A96" s="8"/>
      <c r="B96" s="68"/>
      <c r="C96" s="8"/>
      <c r="D96" s="415"/>
      <c r="E96" s="11"/>
      <c r="F96" s="5"/>
    </row>
    <row r="97" spans="1:6" x14ac:dyDescent="0.25">
      <c r="A97" s="8"/>
      <c r="B97" s="68"/>
      <c r="C97" s="8"/>
      <c r="D97" s="415"/>
      <c r="E97" s="11"/>
      <c r="F97" s="5"/>
    </row>
    <row r="98" spans="1:6" x14ac:dyDescent="0.25">
      <c r="A98" s="8"/>
      <c r="B98" s="68"/>
      <c r="C98" s="8"/>
      <c r="D98" s="415"/>
      <c r="E98" s="11"/>
      <c r="F98" s="5"/>
    </row>
    <row r="99" spans="1:6" x14ac:dyDescent="0.25">
      <c r="A99" s="8"/>
      <c r="B99" s="68"/>
      <c r="C99" s="8"/>
      <c r="D99" s="415"/>
      <c r="E99" s="11"/>
      <c r="F99" s="5"/>
    </row>
    <row r="100" spans="1:6" x14ac:dyDescent="0.25">
      <c r="A100" s="8"/>
      <c r="B100" s="68"/>
      <c r="C100" s="8"/>
      <c r="D100" s="415"/>
      <c r="E100" s="11"/>
      <c r="F100" s="5"/>
    </row>
    <row r="101" spans="1:6" x14ac:dyDescent="0.25">
      <c r="A101" s="8"/>
      <c r="B101" s="68"/>
      <c r="C101" s="8"/>
      <c r="D101" s="415"/>
      <c r="E101" s="11"/>
      <c r="F101" s="5"/>
    </row>
    <row r="102" spans="1:6" x14ac:dyDescent="0.25">
      <c r="A102" s="8"/>
      <c r="B102" s="68"/>
      <c r="C102" s="8"/>
      <c r="D102" s="415"/>
      <c r="E102" s="11"/>
      <c r="F102" s="5"/>
    </row>
    <row r="103" spans="1:6" x14ac:dyDescent="0.25">
      <c r="A103" s="8"/>
      <c r="B103" s="68"/>
      <c r="C103" s="8"/>
      <c r="D103" s="415"/>
      <c r="E103" s="11"/>
      <c r="F103" s="5"/>
    </row>
    <row r="104" spans="1:6" x14ac:dyDescent="0.25">
      <c r="A104" s="8"/>
      <c r="B104" s="68"/>
      <c r="C104" s="8"/>
      <c r="D104" s="415"/>
      <c r="E104" s="11"/>
      <c r="F104" s="5"/>
    </row>
    <row r="105" spans="1:6" x14ac:dyDescent="0.25">
      <c r="A105" s="8"/>
      <c r="B105" s="68"/>
      <c r="C105" s="8"/>
      <c r="D105" s="415"/>
      <c r="E105" s="11"/>
      <c r="F105" s="5"/>
    </row>
    <row r="106" spans="1:6" x14ac:dyDescent="0.25">
      <c r="A106" s="8"/>
      <c r="B106" s="68"/>
      <c r="C106" s="8"/>
      <c r="D106" s="415"/>
      <c r="E106" s="11"/>
      <c r="F106" s="5"/>
    </row>
    <row r="107" spans="1:6" x14ac:dyDescent="0.25">
      <c r="A107" s="8"/>
      <c r="B107" s="68"/>
      <c r="C107" s="8"/>
      <c r="D107" s="415"/>
      <c r="E107" s="11"/>
      <c r="F107" s="5"/>
    </row>
    <row r="108" spans="1:6" x14ac:dyDescent="0.25">
      <c r="A108" s="8"/>
      <c r="B108" s="68"/>
      <c r="C108" s="8"/>
      <c r="D108" s="415"/>
      <c r="E108" s="11"/>
      <c r="F108" s="5"/>
    </row>
    <row r="109" spans="1:6" x14ac:dyDescent="0.25">
      <c r="A109" s="8"/>
      <c r="B109" s="68"/>
      <c r="C109" s="8"/>
      <c r="D109" s="415"/>
      <c r="E109" s="11"/>
      <c r="F109" s="5"/>
    </row>
    <row r="110" spans="1:6" x14ac:dyDescent="0.25">
      <c r="A110" s="8"/>
      <c r="B110" s="68"/>
      <c r="C110" s="8"/>
      <c r="D110" s="415"/>
      <c r="E110" s="11"/>
      <c r="F110" s="5"/>
    </row>
    <row r="111" spans="1:6" x14ac:dyDescent="0.25">
      <c r="A111" s="8"/>
      <c r="B111" s="68"/>
      <c r="C111" s="8"/>
      <c r="D111" s="415"/>
      <c r="E111" s="11"/>
      <c r="F111" s="5"/>
    </row>
    <row r="112" spans="1:6" x14ac:dyDescent="0.25">
      <c r="A112" s="8"/>
      <c r="B112" s="68"/>
      <c r="C112" s="8"/>
      <c r="D112" s="415"/>
      <c r="E112" s="11"/>
      <c r="F112" s="5"/>
    </row>
    <row r="113" spans="1:6" x14ac:dyDescent="0.25">
      <c r="A113" s="8"/>
      <c r="B113" s="68"/>
      <c r="C113" s="8"/>
      <c r="D113" s="415"/>
      <c r="E113" s="11"/>
      <c r="F113" s="5"/>
    </row>
    <row r="114" spans="1:6" x14ac:dyDescent="0.25">
      <c r="A114" s="8"/>
      <c r="B114" s="68"/>
      <c r="C114" s="8"/>
      <c r="D114" s="415"/>
      <c r="E114" s="11"/>
      <c r="F114" s="5"/>
    </row>
    <row r="115" spans="1:6" x14ac:dyDescent="0.25">
      <c r="A115" s="8"/>
      <c r="B115" s="68"/>
      <c r="C115" s="8"/>
      <c r="D115" s="415"/>
      <c r="E115" s="11"/>
      <c r="F115" s="5"/>
    </row>
    <row r="116" spans="1:6" x14ac:dyDescent="0.25">
      <c r="A116" s="8"/>
      <c r="B116" s="68"/>
      <c r="C116" s="8"/>
      <c r="D116" s="415"/>
      <c r="E116" s="11"/>
      <c r="F116" s="5"/>
    </row>
    <row r="117" spans="1:6" x14ac:dyDescent="0.25">
      <c r="A117" s="8"/>
      <c r="B117" s="68"/>
      <c r="C117" s="8"/>
      <c r="D117" s="415"/>
      <c r="E117" s="11"/>
      <c r="F117" s="5"/>
    </row>
    <row r="118" spans="1:6" x14ac:dyDescent="0.25">
      <c r="A118" s="8"/>
      <c r="B118" s="68"/>
      <c r="C118" s="8"/>
      <c r="D118" s="415"/>
      <c r="E118" s="11"/>
      <c r="F118" s="5"/>
    </row>
    <row r="119" spans="1:6" x14ac:dyDescent="0.25">
      <c r="A119" s="8"/>
      <c r="B119" s="68"/>
      <c r="C119" s="8"/>
      <c r="D119" s="415"/>
      <c r="E119" s="11"/>
      <c r="F119" s="5"/>
    </row>
    <row r="120" spans="1:6" ht="15.75" thickBot="1" x14ac:dyDescent="0.3">
      <c r="A120" s="9"/>
      <c r="B120" s="79"/>
      <c r="C120" s="9"/>
      <c r="D120" s="416"/>
      <c r="E120" s="16"/>
      <c r="F120" s="5"/>
    </row>
  </sheetData>
  <mergeCells count="5">
    <mergeCell ref="H24:J28"/>
    <mergeCell ref="H10:J10"/>
    <mergeCell ref="H12:J12"/>
    <mergeCell ref="H16:J16"/>
    <mergeCell ref="H20:J20"/>
  </mergeCells>
  <dataValidations count="2">
    <dataValidation type="list" allowBlank="1" showInputMessage="1" showErrorMessage="1" sqref="D8:D120 E8:E38" xr:uid="{AD24A6C2-45FD-46DE-8B63-0516187C4E10}">
      <formula1>"M,F"</formula1>
    </dataValidation>
    <dataValidation type="list" allowBlank="1" showInputMessage="1" showErrorMessage="1" sqref="F8:F120" xr:uid="{4308255E-4BE1-4C82-9441-6593049C63F1}">
      <formula1>"Actif,Abandon"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22B27-9582-4629-B74E-3D9BE4BB0F6B}">
  <sheetPr codeName="Feuil16"/>
  <dimension ref="A1:O122"/>
  <sheetViews>
    <sheetView topLeftCell="A11" zoomScale="80" zoomScaleNormal="80" zoomScaleSheetLayoutView="80" workbookViewId="0">
      <selection activeCell="K12" sqref="K12"/>
    </sheetView>
  </sheetViews>
  <sheetFormatPr baseColWidth="10" defaultRowHeight="15" x14ac:dyDescent="0.25"/>
  <cols>
    <col min="1" max="1" width="16.140625" customWidth="1"/>
    <col min="2" max="2" width="50.28515625" customWidth="1"/>
    <col min="3" max="3" width="6" customWidth="1"/>
    <col min="4" max="4" width="10.42578125" customWidth="1"/>
    <col min="5" max="5" width="6.28515625" customWidth="1"/>
    <col min="6" max="6" width="7" customWidth="1"/>
    <col min="7" max="7" width="12.7109375" customWidth="1"/>
    <col min="8" max="8" width="13" customWidth="1"/>
    <col min="9" max="9" width="12" customWidth="1"/>
  </cols>
  <sheetData>
    <row r="1" spans="1:15" ht="26.25" customHeight="1" thickBot="1" x14ac:dyDescent="0.3">
      <c r="A1" s="573" t="s">
        <v>306</v>
      </c>
      <c r="B1" s="573"/>
      <c r="C1" s="573"/>
      <c r="D1" s="573"/>
      <c r="E1" s="573"/>
      <c r="F1" s="573"/>
      <c r="G1" s="573"/>
      <c r="H1" s="573"/>
    </row>
    <row r="2" spans="1:15" ht="26.25" customHeight="1" thickBot="1" x14ac:dyDescent="0.3">
      <c r="A2" s="574" t="str">
        <f>"ANNEE SCOLAIRE "&amp;DashBoard!S5</f>
        <v>ANNEE SCOLAIRE 2025-2026</v>
      </c>
      <c r="B2" s="574"/>
      <c r="C2" s="574"/>
      <c r="D2" s="574"/>
      <c r="E2" s="574"/>
      <c r="F2" s="574"/>
      <c r="G2" s="574"/>
      <c r="H2" s="574"/>
    </row>
    <row r="3" spans="1:15" ht="34.5" customHeight="1" thickBot="1" x14ac:dyDescent="0.4">
      <c r="A3" s="442" t="s">
        <v>298</v>
      </c>
      <c r="B3" s="81"/>
      <c r="C3" s="575" t="s">
        <v>297</v>
      </c>
      <c r="D3" s="576"/>
      <c r="E3" s="576"/>
      <c r="F3" s="576"/>
      <c r="G3" s="576"/>
      <c r="H3" s="576"/>
      <c r="I3" s="577"/>
    </row>
    <row r="4" spans="1:15" ht="22.5" customHeight="1" thickBot="1" x14ac:dyDescent="0.4">
      <c r="A4" s="442" t="s">
        <v>299</v>
      </c>
      <c r="B4" s="81" t="str">
        <f>DashBoard!S7</f>
        <v>2ème HTS</v>
      </c>
      <c r="C4" s="578" t="s">
        <v>291</v>
      </c>
      <c r="D4" s="579"/>
      <c r="E4" s="451" t="s">
        <v>149</v>
      </c>
      <c r="F4" s="458">
        <v>1</v>
      </c>
      <c r="G4" s="451" t="s">
        <v>292</v>
      </c>
      <c r="H4" s="582" t="s">
        <v>296</v>
      </c>
      <c r="I4" s="450">
        <v>100</v>
      </c>
    </row>
    <row r="5" spans="1:15" ht="24" customHeight="1" thickBot="1" x14ac:dyDescent="0.4">
      <c r="A5" s="442" t="s">
        <v>300</v>
      </c>
      <c r="B5" s="432"/>
      <c r="C5" s="580"/>
      <c r="D5" s="581"/>
      <c r="E5" s="452" t="s">
        <v>255</v>
      </c>
      <c r="F5" s="447">
        <v>0</v>
      </c>
      <c r="G5" s="448">
        <v>1</v>
      </c>
      <c r="H5" s="583"/>
      <c r="I5" s="449"/>
    </row>
    <row r="6" spans="1:15" ht="24" thickBot="1" x14ac:dyDescent="0.4">
      <c r="A6" s="81"/>
      <c r="B6" s="433"/>
      <c r="C6" s="585" t="s">
        <v>293</v>
      </c>
      <c r="D6" s="586"/>
      <c r="E6" s="453" t="s">
        <v>149</v>
      </c>
      <c r="F6" s="446">
        <v>19</v>
      </c>
      <c r="G6" s="453" t="s">
        <v>292</v>
      </c>
      <c r="H6" s="583"/>
      <c r="I6" s="450">
        <v>46.341463414634148</v>
      </c>
    </row>
    <row r="7" spans="1:15" ht="24" thickBot="1" x14ac:dyDescent="0.4">
      <c r="A7" s="89"/>
      <c r="B7" s="382"/>
      <c r="C7" s="580"/>
      <c r="D7" s="581"/>
      <c r="E7" s="454" t="s">
        <v>255</v>
      </c>
      <c r="F7" s="447">
        <v>22</v>
      </c>
      <c r="G7" s="448">
        <v>41</v>
      </c>
      <c r="H7" s="583"/>
      <c r="I7" s="449">
        <v>53.658536585365859</v>
      </c>
    </row>
    <row r="8" spans="1:15" s="85" customFormat="1" ht="24" customHeight="1" thickBot="1" x14ac:dyDescent="0.4">
      <c r="A8"/>
      <c r="B8" s="382"/>
      <c r="C8" s="587" t="s">
        <v>294</v>
      </c>
      <c r="D8" s="588"/>
      <c r="E8" s="452" t="s">
        <v>149</v>
      </c>
      <c r="F8" s="446"/>
      <c r="G8" s="451" t="s">
        <v>292</v>
      </c>
      <c r="H8" s="583"/>
      <c r="I8" s="450"/>
    </row>
    <row r="9" spans="1:15" s="85" customFormat="1" ht="24" thickBot="1" x14ac:dyDescent="0.4">
      <c r="A9"/>
      <c r="B9" s="382"/>
      <c r="C9" s="589"/>
      <c r="D9" s="590"/>
      <c r="E9" s="452" t="s">
        <v>255</v>
      </c>
      <c r="F9" s="447"/>
      <c r="G9" s="448"/>
      <c r="H9" s="583"/>
      <c r="I9" s="449"/>
    </row>
    <row r="10" spans="1:15" ht="24" thickBot="1" x14ac:dyDescent="0.4">
      <c r="B10" s="382"/>
      <c r="C10" s="585" t="s">
        <v>295</v>
      </c>
      <c r="D10" s="586"/>
      <c r="E10" s="452" t="s">
        <v>149</v>
      </c>
      <c r="F10" s="446">
        <v>3</v>
      </c>
      <c r="G10" s="451" t="s">
        <v>292</v>
      </c>
      <c r="H10" s="583"/>
      <c r="I10" s="450">
        <v>42.857142857142854</v>
      </c>
    </row>
    <row r="11" spans="1:15" ht="24" thickBot="1" x14ac:dyDescent="0.4">
      <c r="B11" s="382"/>
      <c r="C11" s="580"/>
      <c r="D11" s="581"/>
      <c r="E11" s="455" t="s">
        <v>255</v>
      </c>
      <c r="F11" s="447">
        <v>4</v>
      </c>
      <c r="G11" s="448">
        <v>7</v>
      </c>
      <c r="H11" s="583"/>
      <c r="I11" s="449">
        <v>57.142857142857139</v>
      </c>
    </row>
    <row r="12" spans="1:15" ht="24" customHeight="1" thickBot="1" x14ac:dyDescent="0.4">
      <c r="B12" s="382"/>
      <c r="C12" s="585" t="s">
        <v>302</v>
      </c>
      <c r="D12" s="586"/>
      <c r="E12" s="456" t="s">
        <v>149</v>
      </c>
      <c r="F12" s="446">
        <v>23</v>
      </c>
      <c r="G12" s="456" t="s">
        <v>292</v>
      </c>
      <c r="H12" s="583"/>
      <c r="I12" s="450">
        <v>46.938775510204081</v>
      </c>
    </row>
    <row r="13" spans="1:15" ht="24" thickBot="1" x14ac:dyDescent="0.4">
      <c r="C13" s="580"/>
      <c r="D13" s="581"/>
      <c r="E13" s="457" t="s">
        <v>255</v>
      </c>
      <c r="F13" s="447">
        <v>26</v>
      </c>
      <c r="G13" s="448">
        <v>49</v>
      </c>
      <c r="H13" s="584"/>
      <c r="I13" s="449">
        <v>53.061224489795919</v>
      </c>
    </row>
    <row r="14" spans="1:15" ht="56.25" customHeight="1" thickBot="1" x14ac:dyDescent="0.3">
      <c r="A14" s="85"/>
      <c r="B14" s="89"/>
      <c r="C14" s="437"/>
      <c r="D14" s="438" t="s">
        <v>262</v>
      </c>
      <c r="E14" s="439" t="s">
        <v>219</v>
      </c>
      <c r="F14" s="440" t="s">
        <v>266</v>
      </c>
      <c r="G14" s="440" t="s">
        <v>265</v>
      </c>
      <c r="H14" s="441" t="s">
        <v>301</v>
      </c>
    </row>
    <row r="15" spans="1:15" ht="19.5" thickBot="1" x14ac:dyDescent="0.3">
      <c r="A15" s="392"/>
      <c r="B15" s="384" t="s">
        <v>173</v>
      </c>
      <c r="C15" s="434"/>
      <c r="D15" s="435">
        <v>2120</v>
      </c>
      <c r="E15" s="436">
        <v>100</v>
      </c>
      <c r="F15" s="436"/>
      <c r="G15" s="248"/>
      <c r="H15" s="249"/>
      <c r="J15" s="399" t="s">
        <v>267</v>
      </c>
      <c r="K15" s="400"/>
      <c r="L15" s="400"/>
      <c r="M15" s="400"/>
      <c r="N15" s="400"/>
      <c r="O15" s="401"/>
    </row>
    <row r="16" spans="1:15" ht="15.75" thickBot="1" x14ac:dyDescent="0.3">
      <c r="A16" s="393" t="s">
        <v>172</v>
      </c>
      <c r="B16" s="383" t="s">
        <v>161</v>
      </c>
      <c r="C16" s="383" t="s">
        <v>162</v>
      </c>
      <c r="D16" s="385">
        <v>1</v>
      </c>
      <c r="E16" s="307">
        <v>2</v>
      </c>
      <c r="F16" s="397"/>
      <c r="G16" s="307">
        <v>4</v>
      </c>
      <c r="H16" s="386">
        <v>5</v>
      </c>
      <c r="J16" s="4"/>
      <c r="O16" s="5"/>
    </row>
    <row r="17" spans="1:15" x14ac:dyDescent="0.25">
      <c r="A17" s="78" t="s">
        <v>142</v>
      </c>
      <c r="B17" s="51" t="s">
        <v>48</v>
      </c>
      <c r="C17" s="51"/>
      <c r="D17" s="388"/>
      <c r="E17" s="443"/>
      <c r="F17" s="398" t="str">
        <f>IFERROR(IF(D17:D17&lt;&gt;"",RANK(E17,E$17:E$122,0),""),"")</f>
        <v/>
      </c>
      <c r="G17" s="387"/>
      <c r="H17" s="391"/>
      <c r="J17" s="4"/>
      <c r="O17" s="5"/>
    </row>
    <row r="18" spans="1:15" x14ac:dyDescent="0.25">
      <c r="A18" s="68" t="s">
        <v>47</v>
      </c>
      <c r="B18" s="8" t="s">
        <v>50</v>
      </c>
      <c r="C18" s="8"/>
      <c r="D18" s="389"/>
      <c r="E18" s="444"/>
      <c r="F18" s="398" t="str">
        <f>IFERROR(IF(D18:D18&lt;&gt;"",RANK(E18,E$17:E$122,0),""),"")</f>
        <v/>
      </c>
      <c r="G18" s="387"/>
      <c r="H18" s="391"/>
      <c r="J18" s="4"/>
      <c r="O18" s="5"/>
    </row>
    <row r="19" spans="1:15" x14ac:dyDescent="0.25">
      <c r="A19" s="68" t="s">
        <v>49</v>
      </c>
      <c r="B19" s="8" t="s">
        <v>52</v>
      </c>
      <c r="C19" s="8"/>
      <c r="D19" s="389"/>
      <c r="E19" s="444"/>
      <c r="F19" s="398" t="str">
        <f t="shared" ref="F19:F81" si="0">IFERROR(IF(D19:D19&lt;&gt;"",RANK(E19,E$17:E$122,0),""),"")</f>
        <v/>
      </c>
      <c r="G19" s="387"/>
      <c r="H19" s="391"/>
      <c r="J19" s="4"/>
      <c r="O19" s="5"/>
    </row>
    <row r="20" spans="1:15" x14ac:dyDescent="0.25">
      <c r="A20" s="68" t="s">
        <v>51</v>
      </c>
      <c r="B20" s="8" t="s">
        <v>54</v>
      </c>
      <c r="C20" s="8"/>
      <c r="D20" s="389"/>
      <c r="E20" s="444"/>
      <c r="F20" s="398" t="str">
        <f t="shared" si="0"/>
        <v/>
      </c>
      <c r="G20" s="387"/>
      <c r="H20" s="391"/>
      <c r="J20" s="4"/>
      <c r="O20" s="5"/>
    </row>
    <row r="21" spans="1:15" ht="15.75" thickBot="1" x14ac:dyDescent="0.3">
      <c r="A21" s="68" t="s">
        <v>53</v>
      </c>
      <c r="B21" s="8" t="s">
        <v>56</v>
      </c>
      <c r="C21" s="8"/>
      <c r="D21" s="389">
        <v>263</v>
      </c>
      <c r="E21" s="444">
        <v>12.40566037735849</v>
      </c>
      <c r="F21" s="398">
        <f t="shared" si="0"/>
        <v>13</v>
      </c>
      <c r="G21" s="387" t="s">
        <v>304</v>
      </c>
      <c r="H21" s="391" t="s">
        <v>305</v>
      </c>
      <c r="J21" s="14"/>
      <c r="K21" s="15"/>
      <c r="L21" s="15"/>
      <c r="M21" s="15"/>
      <c r="N21" s="15"/>
      <c r="O21" s="16"/>
    </row>
    <row r="22" spans="1:15" x14ac:dyDescent="0.25">
      <c r="A22" s="68" t="s">
        <v>55</v>
      </c>
      <c r="B22" s="8" t="s">
        <v>58</v>
      </c>
      <c r="C22" s="8"/>
      <c r="D22" s="389">
        <v>134</v>
      </c>
      <c r="E22" s="444">
        <v>6.3207547169811322</v>
      </c>
      <c r="F22" s="398">
        <f>IFERROR(IF(D22:D22&lt;&gt;"",RANK(E22,E$17:E$122,0),""),"")</f>
        <v>30</v>
      </c>
      <c r="G22" s="387" t="s">
        <v>304</v>
      </c>
      <c r="H22" s="391" t="s">
        <v>305</v>
      </c>
    </row>
    <row r="23" spans="1:15" x14ac:dyDescent="0.25">
      <c r="A23" s="68" t="s">
        <v>57</v>
      </c>
      <c r="B23" s="8" t="s">
        <v>60</v>
      </c>
      <c r="C23" s="8"/>
      <c r="D23" s="389">
        <v>273</v>
      </c>
      <c r="E23" s="444">
        <v>12.877358490566039</v>
      </c>
      <c r="F23" s="398">
        <f t="shared" si="0"/>
        <v>12</v>
      </c>
      <c r="G23" s="387" t="s">
        <v>304</v>
      </c>
      <c r="H23" s="391" t="s">
        <v>305</v>
      </c>
    </row>
    <row r="24" spans="1:15" x14ac:dyDescent="0.25">
      <c r="A24" s="68" t="s">
        <v>59</v>
      </c>
      <c r="B24" s="8" t="s">
        <v>62</v>
      </c>
      <c r="C24" s="8"/>
      <c r="D24" s="389">
        <v>392</v>
      </c>
      <c r="E24" s="444">
        <v>18.490566037735849</v>
      </c>
      <c r="F24" s="398">
        <f t="shared" si="0"/>
        <v>4</v>
      </c>
      <c r="G24" s="387" t="s">
        <v>304</v>
      </c>
      <c r="H24" s="391" t="s">
        <v>305</v>
      </c>
    </row>
    <row r="25" spans="1:15" x14ac:dyDescent="0.25">
      <c r="A25" s="68" t="s">
        <v>61</v>
      </c>
      <c r="B25" s="8" t="s">
        <v>64</v>
      </c>
      <c r="C25" s="8"/>
      <c r="D25" s="389"/>
      <c r="E25" s="444"/>
      <c r="F25" s="398" t="str">
        <f t="shared" si="0"/>
        <v/>
      </c>
      <c r="G25" s="387"/>
      <c r="H25" s="391"/>
    </row>
    <row r="26" spans="1:15" x14ac:dyDescent="0.25">
      <c r="A26" s="68" t="s">
        <v>63</v>
      </c>
      <c r="B26" s="8" t="s">
        <v>66</v>
      </c>
      <c r="C26" s="8"/>
      <c r="D26" s="389">
        <v>339</v>
      </c>
      <c r="E26" s="444">
        <v>15.990566037735848</v>
      </c>
      <c r="F26" s="398">
        <f t="shared" si="0"/>
        <v>9</v>
      </c>
      <c r="G26" s="387" t="s">
        <v>304</v>
      </c>
      <c r="H26" s="391" t="s">
        <v>305</v>
      </c>
    </row>
    <row r="27" spans="1:15" x14ac:dyDescent="0.25">
      <c r="A27" s="68" t="s">
        <v>65</v>
      </c>
      <c r="B27" s="8" t="s">
        <v>68</v>
      </c>
      <c r="C27" s="8"/>
      <c r="D27" s="389">
        <v>127</v>
      </c>
      <c r="E27" s="444">
        <v>5.9905660377358494</v>
      </c>
      <c r="F27" s="398">
        <f t="shared" si="0"/>
        <v>31</v>
      </c>
      <c r="G27" s="387" t="s">
        <v>304</v>
      </c>
      <c r="H27" s="391" t="s">
        <v>305</v>
      </c>
    </row>
    <row r="28" spans="1:15" x14ac:dyDescent="0.25">
      <c r="A28" s="68" t="s">
        <v>67</v>
      </c>
      <c r="B28" s="8" t="s">
        <v>70</v>
      </c>
      <c r="C28" s="8"/>
      <c r="D28" s="389"/>
      <c r="E28" s="444"/>
      <c r="F28" s="398" t="str">
        <f t="shared" si="0"/>
        <v/>
      </c>
      <c r="G28" s="387"/>
      <c r="H28" s="391"/>
    </row>
    <row r="29" spans="1:15" x14ac:dyDescent="0.25">
      <c r="A29" s="68" t="s">
        <v>69</v>
      </c>
      <c r="B29" s="8" t="s">
        <v>72</v>
      </c>
      <c r="C29" s="8"/>
      <c r="D29" s="389">
        <v>178</v>
      </c>
      <c r="E29" s="444">
        <v>8.3962264150943398</v>
      </c>
      <c r="F29" s="398">
        <f t="shared" si="0"/>
        <v>20</v>
      </c>
      <c r="G29" s="387" t="s">
        <v>304</v>
      </c>
      <c r="H29" s="391" t="s">
        <v>305</v>
      </c>
    </row>
    <row r="30" spans="1:15" x14ac:dyDescent="0.25">
      <c r="A30" s="68" t="s">
        <v>71</v>
      </c>
      <c r="B30" s="8" t="s">
        <v>74</v>
      </c>
      <c r="C30" s="8"/>
      <c r="D30" s="389">
        <v>6471</v>
      </c>
      <c r="E30" s="444">
        <v>305.2358490566038</v>
      </c>
      <c r="F30" s="398">
        <f t="shared" si="0"/>
        <v>1</v>
      </c>
      <c r="G30" s="387" t="s">
        <v>304</v>
      </c>
      <c r="H30" s="391" t="s">
        <v>304</v>
      </c>
    </row>
    <row r="31" spans="1:15" x14ac:dyDescent="0.25">
      <c r="A31" s="68" t="s">
        <v>73</v>
      </c>
      <c r="B31" s="8" t="s">
        <v>76</v>
      </c>
      <c r="C31" s="8"/>
      <c r="D31" s="389">
        <v>95</v>
      </c>
      <c r="E31" s="444">
        <v>4.4811320754716979</v>
      </c>
      <c r="F31" s="398">
        <f t="shared" si="0"/>
        <v>36</v>
      </c>
      <c r="G31" s="387" t="s">
        <v>304</v>
      </c>
      <c r="H31" s="391" t="s">
        <v>305</v>
      </c>
    </row>
    <row r="32" spans="1:15" x14ac:dyDescent="0.25">
      <c r="A32" s="68" t="s">
        <v>75</v>
      </c>
      <c r="B32" s="8" t="s">
        <v>78</v>
      </c>
      <c r="C32" s="8"/>
      <c r="D32" s="389">
        <v>544</v>
      </c>
      <c r="E32" s="444">
        <v>25.660377358490567</v>
      </c>
      <c r="F32" s="398">
        <f t="shared" si="0"/>
        <v>2</v>
      </c>
      <c r="G32" s="387" t="s">
        <v>304</v>
      </c>
      <c r="H32" s="391" t="s">
        <v>305</v>
      </c>
    </row>
    <row r="33" spans="1:8" x14ac:dyDescent="0.25">
      <c r="A33" s="68" t="s">
        <v>77</v>
      </c>
      <c r="B33" s="8" t="s">
        <v>80</v>
      </c>
      <c r="C33" s="8"/>
      <c r="D33" s="389">
        <v>157</v>
      </c>
      <c r="E33" s="444">
        <v>7.4056603773584904</v>
      </c>
      <c r="F33" s="398">
        <f t="shared" si="0"/>
        <v>28</v>
      </c>
      <c r="G33" s="387" t="s">
        <v>304</v>
      </c>
      <c r="H33" s="391" t="s">
        <v>305</v>
      </c>
    </row>
    <row r="34" spans="1:8" x14ac:dyDescent="0.25">
      <c r="A34" s="68" t="s">
        <v>79</v>
      </c>
      <c r="B34" s="8" t="s">
        <v>82</v>
      </c>
      <c r="C34" s="8"/>
      <c r="D34" s="389"/>
      <c r="E34" s="444"/>
      <c r="F34" s="398" t="str">
        <f t="shared" si="0"/>
        <v/>
      </c>
      <c r="G34" s="387"/>
      <c r="H34" s="391"/>
    </row>
    <row r="35" spans="1:8" x14ac:dyDescent="0.25">
      <c r="A35" s="68" t="s">
        <v>81</v>
      </c>
      <c r="B35" s="8" t="s">
        <v>84</v>
      </c>
      <c r="C35" s="8"/>
      <c r="D35" s="389">
        <v>90</v>
      </c>
      <c r="E35" s="444">
        <v>4.2452830188679247</v>
      </c>
      <c r="F35" s="398">
        <f t="shared" si="0"/>
        <v>37</v>
      </c>
      <c r="G35" s="387" t="s">
        <v>304</v>
      </c>
      <c r="H35" s="391" t="s">
        <v>305</v>
      </c>
    </row>
    <row r="36" spans="1:8" x14ac:dyDescent="0.25">
      <c r="A36" s="68" t="s">
        <v>83</v>
      </c>
      <c r="B36" s="8" t="s">
        <v>86</v>
      </c>
      <c r="C36" s="8"/>
      <c r="D36" s="389">
        <v>376</v>
      </c>
      <c r="E36" s="444">
        <v>17.735849056603772</v>
      </c>
      <c r="F36" s="398">
        <f t="shared" si="0"/>
        <v>6</v>
      </c>
      <c r="G36" s="387" t="s">
        <v>304</v>
      </c>
      <c r="H36" s="391" t="s">
        <v>305</v>
      </c>
    </row>
    <row r="37" spans="1:8" x14ac:dyDescent="0.25">
      <c r="A37" s="68" t="s">
        <v>85</v>
      </c>
      <c r="B37" s="8" t="s">
        <v>88</v>
      </c>
      <c r="C37" s="8"/>
      <c r="D37" s="389">
        <v>89</v>
      </c>
      <c r="E37" s="444">
        <v>4.1981132075471699</v>
      </c>
      <c r="F37" s="398">
        <f t="shared" si="0"/>
        <v>38</v>
      </c>
      <c r="G37" s="387" t="s">
        <v>304</v>
      </c>
      <c r="H37" s="391" t="s">
        <v>305</v>
      </c>
    </row>
    <row r="38" spans="1:8" x14ac:dyDescent="0.25">
      <c r="A38" s="68" t="s">
        <v>87</v>
      </c>
      <c r="B38" s="8" t="s">
        <v>90</v>
      </c>
      <c r="C38" s="8"/>
      <c r="D38" s="389">
        <v>189</v>
      </c>
      <c r="E38" s="444">
        <v>8.915094339622641</v>
      </c>
      <c r="F38" s="398">
        <f t="shared" si="0"/>
        <v>17</v>
      </c>
      <c r="G38" s="387" t="s">
        <v>304</v>
      </c>
      <c r="H38" s="391" t="s">
        <v>305</v>
      </c>
    </row>
    <row r="39" spans="1:8" x14ac:dyDescent="0.25">
      <c r="A39" s="68" t="s">
        <v>89</v>
      </c>
      <c r="B39" s="8" t="s">
        <v>92</v>
      </c>
      <c r="C39" s="8"/>
      <c r="D39" s="389">
        <v>166</v>
      </c>
      <c r="E39" s="444">
        <v>7.8301886792452828</v>
      </c>
      <c r="F39" s="398">
        <f t="shared" si="0"/>
        <v>24</v>
      </c>
      <c r="G39" s="387" t="s">
        <v>304</v>
      </c>
      <c r="H39" s="391" t="s">
        <v>305</v>
      </c>
    </row>
    <row r="40" spans="1:8" x14ac:dyDescent="0.25">
      <c r="A40" s="68" t="s">
        <v>91</v>
      </c>
      <c r="B40" s="8" t="s">
        <v>94</v>
      </c>
      <c r="C40" s="8"/>
      <c r="D40" s="389">
        <v>375</v>
      </c>
      <c r="E40" s="444">
        <v>17.688679245283019</v>
      </c>
      <c r="F40" s="398">
        <f t="shared" si="0"/>
        <v>7</v>
      </c>
      <c r="G40" s="387" t="s">
        <v>305</v>
      </c>
      <c r="H40" s="391" t="s">
        <v>305</v>
      </c>
    </row>
    <row r="41" spans="1:8" x14ac:dyDescent="0.25">
      <c r="A41" s="68" t="s">
        <v>93</v>
      </c>
      <c r="B41" s="8" t="s">
        <v>96</v>
      </c>
      <c r="C41" s="8"/>
      <c r="D41" s="389">
        <v>83</v>
      </c>
      <c r="E41" s="444">
        <v>3.9150943396226414</v>
      </c>
      <c r="F41" s="398">
        <f t="shared" si="0"/>
        <v>40</v>
      </c>
      <c r="G41" s="387" t="s">
        <v>305</v>
      </c>
      <c r="H41" s="391" t="s">
        <v>305</v>
      </c>
    </row>
    <row r="42" spans="1:8" x14ac:dyDescent="0.25">
      <c r="A42" s="68" t="s">
        <v>95</v>
      </c>
      <c r="B42" s="8" t="s">
        <v>98</v>
      </c>
      <c r="C42" s="8"/>
      <c r="D42" s="389">
        <v>324</v>
      </c>
      <c r="E42" s="444">
        <v>15.283018867924527</v>
      </c>
      <c r="F42" s="398">
        <f t="shared" si="0"/>
        <v>10</v>
      </c>
      <c r="G42" s="387" t="s">
        <v>304</v>
      </c>
      <c r="H42" s="391" t="s">
        <v>305</v>
      </c>
    </row>
    <row r="43" spans="1:8" x14ac:dyDescent="0.25">
      <c r="A43" s="68" t="s">
        <v>97</v>
      </c>
      <c r="B43" s="8" t="s">
        <v>100</v>
      </c>
      <c r="C43" s="8"/>
      <c r="D43" s="389">
        <v>99</v>
      </c>
      <c r="E43" s="444">
        <v>4.6698113207547163</v>
      </c>
      <c r="F43" s="398">
        <f t="shared" si="0"/>
        <v>34</v>
      </c>
      <c r="G43" s="387" t="s">
        <v>304</v>
      </c>
      <c r="H43" s="391" t="s">
        <v>305</v>
      </c>
    </row>
    <row r="44" spans="1:8" x14ac:dyDescent="0.25">
      <c r="A44" s="68" t="s">
        <v>99</v>
      </c>
      <c r="B44" s="8" t="s">
        <v>102</v>
      </c>
      <c r="C44" s="8"/>
      <c r="D44" s="389">
        <v>159</v>
      </c>
      <c r="E44" s="444">
        <v>7.5</v>
      </c>
      <c r="F44" s="398">
        <f t="shared" si="0"/>
        <v>27</v>
      </c>
      <c r="G44" s="387" t="s">
        <v>304</v>
      </c>
      <c r="H44" s="391" t="s">
        <v>305</v>
      </c>
    </row>
    <row r="45" spans="1:8" x14ac:dyDescent="0.25">
      <c r="A45" s="68" t="s">
        <v>101</v>
      </c>
      <c r="B45" s="8" t="s">
        <v>104</v>
      </c>
      <c r="C45" s="8"/>
      <c r="D45" s="389">
        <v>258</v>
      </c>
      <c r="E45" s="444">
        <v>12.169811320754716</v>
      </c>
      <c r="F45" s="398">
        <f t="shared" si="0"/>
        <v>15</v>
      </c>
      <c r="G45" s="387" t="s">
        <v>304</v>
      </c>
      <c r="H45" s="391" t="s">
        <v>305</v>
      </c>
    </row>
    <row r="46" spans="1:8" x14ac:dyDescent="0.25">
      <c r="A46" s="68" t="s">
        <v>103</v>
      </c>
      <c r="B46" s="8" t="s">
        <v>106</v>
      </c>
      <c r="C46" s="8"/>
      <c r="D46" s="389">
        <v>257</v>
      </c>
      <c r="E46" s="444">
        <v>12.122641509433961</v>
      </c>
      <c r="F46" s="398">
        <f t="shared" si="0"/>
        <v>16</v>
      </c>
      <c r="G46" s="387" t="s">
        <v>304</v>
      </c>
      <c r="H46" s="391" t="s">
        <v>305</v>
      </c>
    </row>
    <row r="47" spans="1:8" x14ac:dyDescent="0.25">
      <c r="A47" s="68" t="s">
        <v>105</v>
      </c>
      <c r="B47" s="8" t="s">
        <v>108</v>
      </c>
      <c r="C47" s="8"/>
      <c r="D47" s="389">
        <v>84</v>
      </c>
      <c r="E47" s="444">
        <v>3.9622641509433962</v>
      </c>
      <c r="F47" s="398">
        <f t="shared" si="0"/>
        <v>39</v>
      </c>
      <c r="G47" s="387" t="s">
        <v>305</v>
      </c>
      <c r="H47" s="391" t="s">
        <v>305</v>
      </c>
    </row>
    <row r="48" spans="1:8" x14ac:dyDescent="0.25">
      <c r="A48" s="68" t="s">
        <v>107</v>
      </c>
      <c r="B48" s="8" t="s">
        <v>110</v>
      </c>
      <c r="C48" s="8"/>
      <c r="D48" s="389">
        <v>96</v>
      </c>
      <c r="E48" s="444">
        <v>4.5283018867924527</v>
      </c>
      <c r="F48" s="398">
        <f t="shared" si="0"/>
        <v>35</v>
      </c>
      <c r="G48" s="387" t="s">
        <v>304</v>
      </c>
      <c r="H48" s="391" t="s">
        <v>305</v>
      </c>
    </row>
    <row r="49" spans="1:8" x14ac:dyDescent="0.25">
      <c r="A49" s="68" t="s">
        <v>109</v>
      </c>
      <c r="B49" s="8" t="s">
        <v>112</v>
      </c>
      <c r="C49" s="8"/>
      <c r="D49" s="389">
        <v>181</v>
      </c>
      <c r="E49" s="444">
        <v>8.5377358490566024</v>
      </c>
      <c r="F49" s="398">
        <f t="shared" si="0"/>
        <v>19</v>
      </c>
      <c r="G49" s="387" t="s">
        <v>304</v>
      </c>
      <c r="H49" s="391" t="s">
        <v>305</v>
      </c>
    </row>
    <row r="50" spans="1:8" x14ac:dyDescent="0.25">
      <c r="A50" s="68" t="s">
        <v>111</v>
      </c>
      <c r="B50" s="8" t="s">
        <v>114</v>
      </c>
      <c r="C50" s="8"/>
      <c r="D50" s="389">
        <v>409</v>
      </c>
      <c r="E50" s="444">
        <v>19.29245283018868</v>
      </c>
      <c r="F50" s="398">
        <f t="shared" si="0"/>
        <v>3</v>
      </c>
      <c r="G50" s="387" t="s">
        <v>304</v>
      </c>
      <c r="H50" s="391" t="s">
        <v>305</v>
      </c>
    </row>
    <row r="51" spans="1:8" x14ac:dyDescent="0.25">
      <c r="A51" s="68" t="s">
        <v>113</v>
      </c>
      <c r="B51" s="8" t="s">
        <v>116</v>
      </c>
      <c r="C51" s="8"/>
      <c r="D51" s="389">
        <v>163</v>
      </c>
      <c r="E51" s="444">
        <v>7.6886792452830184</v>
      </c>
      <c r="F51" s="398">
        <f t="shared" si="0"/>
        <v>26</v>
      </c>
      <c r="G51" s="387" t="s">
        <v>304</v>
      </c>
      <c r="H51" s="391" t="s">
        <v>305</v>
      </c>
    </row>
    <row r="52" spans="1:8" x14ac:dyDescent="0.25">
      <c r="A52" s="68" t="s">
        <v>115</v>
      </c>
      <c r="B52" s="8" t="s">
        <v>118</v>
      </c>
      <c r="C52" s="8"/>
      <c r="D52" s="389">
        <v>165</v>
      </c>
      <c r="E52" s="444">
        <v>7.783018867924528</v>
      </c>
      <c r="F52" s="398">
        <f t="shared" si="0"/>
        <v>25</v>
      </c>
      <c r="G52" s="387" t="s">
        <v>304</v>
      </c>
      <c r="H52" s="391" t="s">
        <v>305</v>
      </c>
    </row>
    <row r="53" spans="1:8" x14ac:dyDescent="0.25">
      <c r="A53" s="68" t="s">
        <v>117</v>
      </c>
      <c r="B53" s="8" t="s">
        <v>120</v>
      </c>
      <c r="C53" s="8"/>
      <c r="D53" s="389">
        <v>310</v>
      </c>
      <c r="E53" s="444">
        <v>14.622641509433961</v>
      </c>
      <c r="F53" s="398">
        <f t="shared" si="0"/>
        <v>11</v>
      </c>
      <c r="G53" s="387" t="s">
        <v>304</v>
      </c>
      <c r="H53" s="391" t="s">
        <v>305</v>
      </c>
    </row>
    <row r="54" spans="1:8" x14ac:dyDescent="0.25">
      <c r="A54" s="68" t="s">
        <v>119</v>
      </c>
      <c r="B54" s="8" t="s">
        <v>122</v>
      </c>
      <c r="C54" s="8"/>
      <c r="D54" s="389">
        <v>184</v>
      </c>
      <c r="E54" s="444">
        <v>8.6792452830188669</v>
      </c>
      <c r="F54" s="398">
        <f t="shared" si="0"/>
        <v>18</v>
      </c>
      <c r="G54" s="387" t="s">
        <v>304</v>
      </c>
      <c r="H54" s="391" t="s">
        <v>305</v>
      </c>
    </row>
    <row r="55" spans="1:8" x14ac:dyDescent="0.25">
      <c r="A55" s="68" t="s">
        <v>121</v>
      </c>
      <c r="B55" s="8" t="s">
        <v>124</v>
      </c>
      <c r="C55" s="8"/>
      <c r="D55" s="389">
        <v>168</v>
      </c>
      <c r="E55" s="444">
        <v>7.9245283018867925</v>
      </c>
      <c r="F55" s="398">
        <f t="shared" si="0"/>
        <v>23</v>
      </c>
      <c r="G55" s="387" t="s">
        <v>304</v>
      </c>
      <c r="H55" s="391" t="s">
        <v>305</v>
      </c>
    </row>
    <row r="56" spans="1:8" x14ac:dyDescent="0.25">
      <c r="A56" s="68" t="s">
        <v>123</v>
      </c>
      <c r="B56" s="8" t="s">
        <v>126</v>
      </c>
      <c r="C56" s="8"/>
      <c r="D56" s="389">
        <v>175</v>
      </c>
      <c r="E56" s="444">
        <v>8.2547169811320753</v>
      </c>
      <c r="F56" s="398">
        <f t="shared" si="0"/>
        <v>22</v>
      </c>
      <c r="G56" s="387" t="s">
        <v>304</v>
      </c>
      <c r="H56" s="391" t="s">
        <v>305</v>
      </c>
    </row>
    <row r="57" spans="1:8" x14ac:dyDescent="0.25">
      <c r="A57" s="68" t="s">
        <v>125</v>
      </c>
      <c r="B57" s="8" t="s">
        <v>128</v>
      </c>
      <c r="C57" s="8"/>
      <c r="D57" s="389">
        <v>260</v>
      </c>
      <c r="E57" s="444">
        <v>12.264150943396226</v>
      </c>
      <c r="F57" s="398">
        <f t="shared" si="0"/>
        <v>14</v>
      </c>
      <c r="G57" s="387" t="s">
        <v>304</v>
      </c>
      <c r="H57" s="391" t="s">
        <v>305</v>
      </c>
    </row>
    <row r="58" spans="1:8" x14ac:dyDescent="0.25">
      <c r="A58" s="68" t="s">
        <v>127</v>
      </c>
      <c r="B58" s="8" t="s">
        <v>130</v>
      </c>
      <c r="C58" s="8"/>
      <c r="D58" s="389">
        <v>116</v>
      </c>
      <c r="E58" s="444">
        <v>5.4716981132075473</v>
      </c>
      <c r="F58" s="398">
        <f t="shared" si="0"/>
        <v>32</v>
      </c>
      <c r="G58" s="387" t="s">
        <v>304</v>
      </c>
      <c r="H58" s="391" t="s">
        <v>305</v>
      </c>
    </row>
    <row r="59" spans="1:8" x14ac:dyDescent="0.25">
      <c r="A59" s="68" t="s">
        <v>129</v>
      </c>
      <c r="B59" s="8" t="s">
        <v>132</v>
      </c>
      <c r="C59" s="8"/>
      <c r="D59" s="389">
        <v>377</v>
      </c>
      <c r="E59" s="444">
        <v>17.783018867924525</v>
      </c>
      <c r="F59" s="398">
        <f t="shared" si="0"/>
        <v>5</v>
      </c>
      <c r="G59" s="387" t="s">
        <v>305</v>
      </c>
      <c r="H59" s="391" t="s">
        <v>305</v>
      </c>
    </row>
    <row r="60" spans="1:8" x14ac:dyDescent="0.25">
      <c r="A60" s="68" t="s">
        <v>131</v>
      </c>
      <c r="B60" s="8" t="s">
        <v>134</v>
      </c>
      <c r="C60" s="8"/>
      <c r="D60" s="389">
        <v>75</v>
      </c>
      <c r="E60" s="444">
        <v>3.5377358490566038</v>
      </c>
      <c r="F60" s="398">
        <f t="shared" si="0"/>
        <v>42</v>
      </c>
      <c r="G60" s="387" t="s">
        <v>305</v>
      </c>
      <c r="H60" s="391" t="s">
        <v>305</v>
      </c>
    </row>
    <row r="61" spans="1:8" x14ac:dyDescent="0.25">
      <c r="A61" s="68" t="s">
        <v>133</v>
      </c>
      <c r="B61" s="8" t="s">
        <v>136</v>
      </c>
      <c r="C61" s="8"/>
      <c r="D61" s="389">
        <v>81</v>
      </c>
      <c r="E61" s="444">
        <v>3.8207547169811318</v>
      </c>
      <c r="F61" s="398">
        <f t="shared" si="0"/>
        <v>41</v>
      </c>
      <c r="G61" s="387" t="s">
        <v>305</v>
      </c>
      <c r="H61" s="391" t="s">
        <v>305</v>
      </c>
    </row>
    <row r="62" spans="1:8" x14ac:dyDescent="0.25">
      <c r="A62" s="68" t="s">
        <v>135</v>
      </c>
      <c r="B62" s="8" t="s">
        <v>138</v>
      </c>
      <c r="C62" s="8"/>
      <c r="D62" s="389">
        <v>114</v>
      </c>
      <c r="E62" s="444">
        <v>5.3773584905660377</v>
      </c>
      <c r="F62" s="398">
        <f t="shared" si="0"/>
        <v>33</v>
      </c>
      <c r="G62" s="387" t="s">
        <v>304</v>
      </c>
      <c r="H62" s="391" t="s">
        <v>305</v>
      </c>
    </row>
    <row r="63" spans="1:8" x14ac:dyDescent="0.25">
      <c r="A63" s="68" t="s">
        <v>137</v>
      </c>
      <c r="B63" s="8" t="s">
        <v>139</v>
      </c>
      <c r="C63" s="8"/>
      <c r="D63" s="389">
        <v>178</v>
      </c>
      <c r="E63" s="444">
        <v>8.3962264150943398</v>
      </c>
      <c r="F63" s="398">
        <f t="shared" si="0"/>
        <v>20</v>
      </c>
      <c r="G63" s="387" t="s">
        <v>304</v>
      </c>
      <c r="H63" s="391" t="s">
        <v>305</v>
      </c>
    </row>
    <row r="64" spans="1:8" x14ac:dyDescent="0.25">
      <c r="A64" s="68" t="s">
        <v>147</v>
      </c>
      <c r="B64" s="8" t="s">
        <v>148</v>
      </c>
      <c r="C64" s="8" t="s">
        <v>149</v>
      </c>
      <c r="D64" s="389">
        <v>353</v>
      </c>
      <c r="E64" s="444">
        <v>16.650943396226413</v>
      </c>
      <c r="F64" s="398">
        <f t="shared" si="0"/>
        <v>8</v>
      </c>
      <c r="G64" s="387" t="s">
        <v>304</v>
      </c>
      <c r="H64" s="391" t="s">
        <v>305</v>
      </c>
    </row>
    <row r="65" spans="1:8" x14ac:dyDescent="0.25">
      <c r="A65" s="68" t="s">
        <v>253</v>
      </c>
      <c r="B65" s="8" t="s">
        <v>254</v>
      </c>
      <c r="C65" s="8" t="s">
        <v>255</v>
      </c>
      <c r="D65" s="389">
        <v>154.6</v>
      </c>
      <c r="E65" s="444">
        <v>7.2924528301886795</v>
      </c>
      <c r="F65" s="398">
        <f t="shared" si="0"/>
        <v>29</v>
      </c>
      <c r="G65" s="387" t="s">
        <v>304</v>
      </c>
      <c r="H65" s="391" t="s">
        <v>305</v>
      </c>
    </row>
    <row r="66" spans="1:8" x14ac:dyDescent="0.25">
      <c r="A66" s="68"/>
      <c r="B66" s="8"/>
      <c r="C66" s="8"/>
      <c r="D66" s="389"/>
      <c r="E66" s="444"/>
      <c r="F66" s="398" t="str">
        <f t="shared" si="0"/>
        <v/>
      </c>
      <c r="G66" s="387" t="str">
        <f t="shared" ref="G66:G80" si="1">IF(AND(V66&gt;60,E67&lt;&gt;0),"TB",IF(E67&lt;&gt;0,"B",""))</f>
        <v/>
      </c>
      <c r="H66" s="391"/>
    </row>
    <row r="67" spans="1:8" x14ac:dyDescent="0.25">
      <c r="A67" s="68"/>
      <c r="B67" s="8"/>
      <c r="C67" s="8"/>
      <c r="D67" s="389"/>
      <c r="E67" s="444"/>
      <c r="F67" s="398" t="str">
        <f t="shared" si="0"/>
        <v/>
      </c>
      <c r="G67" s="387" t="str">
        <f t="shared" si="1"/>
        <v/>
      </c>
      <c r="H67" s="391"/>
    </row>
    <row r="68" spans="1:8" x14ac:dyDescent="0.25">
      <c r="A68" s="68"/>
      <c r="B68" s="8"/>
      <c r="C68" s="8"/>
      <c r="D68" s="389"/>
      <c r="E68" s="444"/>
      <c r="F68" s="398" t="str">
        <f t="shared" si="0"/>
        <v/>
      </c>
      <c r="G68" s="387" t="str">
        <f t="shared" si="1"/>
        <v/>
      </c>
      <c r="H68" s="391"/>
    </row>
    <row r="69" spans="1:8" x14ac:dyDescent="0.25">
      <c r="A69" s="68"/>
      <c r="B69" s="8"/>
      <c r="C69" s="8"/>
      <c r="D69" s="389"/>
      <c r="E69" s="444"/>
      <c r="F69" s="398" t="str">
        <f t="shared" si="0"/>
        <v/>
      </c>
      <c r="G69" s="387" t="str">
        <f t="shared" si="1"/>
        <v/>
      </c>
      <c r="H69" s="391"/>
    </row>
    <row r="70" spans="1:8" x14ac:dyDescent="0.25">
      <c r="A70" s="68"/>
      <c r="B70" s="8"/>
      <c r="C70" s="8"/>
      <c r="D70" s="389"/>
      <c r="E70" s="444"/>
      <c r="F70" s="398" t="str">
        <f t="shared" si="0"/>
        <v/>
      </c>
      <c r="G70" s="387" t="str">
        <f t="shared" si="1"/>
        <v/>
      </c>
      <c r="H70" s="391"/>
    </row>
    <row r="71" spans="1:8" x14ac:dyDescent="0.25">
      <c r="A71" s="68"/>
      <c r="B71" s="8"/>
      <c r="C71" s="8"/>
      <c r="D71" s="389"/>
      <c r="E71" s="444"/>
      <c r="F71" s="398" t="str">
        <f t="shared" si="0"/>
        <v/>
      </c>
      <c r="G71" s="387" t="str">
        <f t="shared" si="1"/>
        <v/>
      </c>
      <c r="H71" s="391"/>
    </row>
    <row r="72" spans="1:8" x14ac:dyDescent="0.25">
      <c r="A72" s="68"/>
      <c r="B72" s="8"/>
      <c r="C72" s="8"/>
      <c r="D72" s="389"/>
      <c r="E72" s="444"/>
      <c r="F72" s="398" t="str">
        <f t="shared" si="0"/>
        <v/>
      </c>
      <c r="G72" s="387" t="str">
        <f t="shared" si="1"/>
        <v/>
      </c>
      <c r="H72" s="391"/>
    </row>
    <row r="73" spans="1:8" x14ac:dyDescent="0.25">
      <c r="A73" s="68"/>
      <c r="B73" s="8"/>
      <c r="C73" s="8"/>
      <c r="D73" s="389"/>
      <c r="E73" s="444"/>
      <c r="F73" s="398" t="str">
        <f t="shared" si="0"/>
        <v/>
      </c>
      <c r="G73" s="387" t="str">
        <f t="shared" si="1"/>
        <v/>
      </c>
      <c r="H73" s="391"/>
    </row>
    <row r="74" spans="1:8" x14ac:dyDescent="0.25">
      <c r="A74" s="68"/>
      <c r="B74" s="8"/>
      <c r="C74" s="8"/>
      <c r="D74" s="389"/>
      <c r="E74" s="444"/>
      <c r="F74" s="398" t="str">
        <f t="shared" si="0"/>
        <v/>
      </c>
      <c r="G74" s="387" t="str">
        <f t="shared" si="1"/>
        <v/>
      </c>
      <c r="H74" s="391"/>
    </row>
    <row r="75" spans="1:8" x14ac:dyDescent="0.25">
      <c r="A75" s="68"/>
      <c r="B75" s="8"/>
      <c r="C75" s="8"/>
      <c r="D75" s="389"/>
      <c r="E75" s="444"/>
      <c r="F75" s="398" t="str">
        <f t="shared" si="0"/>
        <v/>
      </c>
      <c r="G75" s="387" t="str">
        <f t="shared" si="1"/>
        <v/>
      </c>
      <c r="H75" s="391"/>
    </row>
    <row r="76" spans="1:8" x14ac:dyDescent="0.25">
      <c r="A76" s="68"/>
      <c r="B76" s="8"/>
      <c r="C76" s="8"/>
      <c r="D76" s="389"/>
      <c r="E76" s="444"/>
      <c r="F76" s="398" t="str">
        <f t="shared" si="0"/>
        <v/>
      </c>
      <c r="G76" s="387" t="str">
        <f t="shared" si="1"/>
        <v/>
      </c>
      <c r="H76" s="391"/>
    </row>
    <row r="77" spans="1:8" x14ac:dyDescent="0.25">
      <c r="A77" s="68"/>
      <c r="B77" s="8"/>
      <c r="C77" s="8"/>
      <c r="D77" s="389"/>
      <c r="E77" s="444"/>
      <c r="F77" s="398" t="str">
        <f t="shared" si="0"/>
        <v/>
      </c>
      <c r="G77" s="387" t="str">
        <f t="shared" si="1"/>
        <v/>
      </c>
      <c r="H77" s="391"/>
    </row>
    <row r="78" spans="1:8" x14ac:dyDescent="0.25">
      <c r="A78" s="68"/>
      <c r="B78" s="8"/>
      <c r="C78" s="8"/>
      <c r="D78" s="389"/>
      <c r="E78" s="444"/>
      <c r="F78" s="398" t="str">
        <f t="shared" si="0"/>
        <v/>
      </c>
      <c r="G78" s="387" t="str">
        <f t="shared" si="1"/>
        <v/>
      </c>
      <c r="H78" s="391"/>
    </row>
    <row r="79" spans="1:8" x14ac:dyDescent="0.25">
      <c r="A79" s="68"/>
      <c r="B79" s="8"/>
      <c r="C79" s="8"/>
      <c r="D79" s="389"/>
      <c r="E79" s="444"/>
      <c r="F79" s="398" t="str">
        <f t="shared" si="0"/>
        <v/>
      </c>
      <c r="G79" s="387" t="str">
        <f t="shared" si="1"/>
        <v/>
      </c>
      <c r="H79" s="391"/>
    </row>
    <row r="80" spans="1:8" x14ac:dyDescent="0.25">
      <c r="A80" s="68"/>
      <c r="B80" s="8"/>
      <c r="C80" s="8"/>
      <c r="D80" s="389"/>
      <c r="E80" s="444"/>
      <c r="F80" s="398" t="str">
        <f t="shared" si="0"/>
        <v/>
      </c>
      <c r="G80" s="387" t="str">
        <f t="shared" si="1"/>
        <v/>
      </c>
      <c r="H80" s="391"/>
    </row>
    <row r="81" spans="1:8" x14ac:dyDescent="0.25">
      <c r="A81" s="68"/>
      <c r="B81" s="8"/>
      <c r="C81" s="8"/>
      <c r="D81" s="389"/>
      <c r="E81" s="444"/>
      <c r="F81" s="398" t="str">
        <f t="shared" si="0"/>
        <v/>
      </c>
      <c r="G81" s="387" t="str">
        <f t="shared" ref="G81:G112" si="2">IF(AND(V81&gt;60,E82&lt;&gt;0),"TB",IF(E82&lt;&gt;0,"B",""))</f>
        <v/>
      </c>
      <c r="H81" s="391"/>
    </row>
    <row r="82" spans="1:8" x14ac:dyDescent="0.25">
      <c r="A82" s="68"/>
      <c r="B82" s="8"/>
      <c r="C82" s="8"/>
      <c r="D82" s="389"/>
      <c r="E82" s="444"/>
      <c r="F82" s="398" t="str">
        <f t="shared" ref="F82:F122" si="3">IFERROR(IF(D82:D82&lt;&gt;"",RANK(E82,E$17:E$122,0),""),"")</f>
        <v/>
      </c>
      <c r="G82" s="387" t="str">
        <f t="shared" si="2"/>
        <v/>
      </c>
      <c r="H82" s="391"/>
    </row>
    <row r="83" spans="1:8" x14ac:dyDescent="0.25">
      <c r="A83" s="68"/>
      <c r="B83" s="8"/>
      <c r="C83" s="8"/>
      <c r="D83" s="389"/>
      <c r="E83" s="444"/>
      <c r="F83" s="398" t="str">
        <f t="shared" si="3"/>
        <v/>
      </c>
      <c r="G83" s="387" t="str">
        <f t="shared" si="2"/>
        <v/>
      </c>
      <c r="H83" s="391"/>
    </row>
    <row r="84" spans="1:8" x14ac:dyDescent="0.25">
      <c r="A84" s="68"/>
      <c r="B84" s="8"/>
      <c r="C84" s="8"/>
      <c r="D84" s="389"/>
      <c r="E84" s="444"/>
      <c r="F84" s="398" t="str">
        <f t="shared" si="3"/>
        <v/>
      </c>
      <c r="G84" s="387" t="str">
        <f t="shared" si="2"/>
        <v/>
      </c>
      <c r="H84" s="391"/>
    </row>
    <row r="85" spans="1:8" x14ac:dyDescent="0.25">
      <c r="A85" s="68"/>
      <c r="B85" s="8"/>
      <c r="C85" s="8"/>
      <c r="D85" s="389"/>
      <c r="E85" s="444"/>
      <c r="F85" s="398" t="str">
        <f t="shared" si="3"/>
        <v/>
      </c>
      <c r="G85" s="387" t="str">
        <f t="shared" si="2"/>
        <v/>
      </c>
      <c r="H85" s="391"/>
    </row>
    <row r="86" spans="1:8" x14ac:dyDescent="0.25">
      <c r="A86" s="68"/>
      <c r="B86" s="8"/>
      <c r="C86" s="8"/>
      <c r="D86" s="389"/>
      <c r="E86" s="444"/>
      <c r="F86" s="398" t="str">
        <f t="shared" si="3"/>
        <v/>
      </c>
      <c r="G86" s="387" t="str">
        <f t="shared" si="2"/>
        <v/>
      </c>
      <c r="H86" s="391"/>
    </row>
    <row r="87" spans="1:8" x14ac:dyDescent="0.25">
      <c r="A87" s="68"/>
      <c r="B87" s="8"/>
      <c r="C87" s="8"/>
      <c r="D87" s="389"/>
      <c r="E87" s="444"/>
      <c r="F87" s="398" t="str">
        <f t="shared" si="3"/>
        <v/>
      </c>
      <c r="G87" s="387" t="str">
        <f t="shared" si="2"/>
        <v/>
      </c>
      <c r="H87" s="391"/>
    </row>
    <row r="88" spans="1:8" x14ac:dyDescent="0.25">
      <c r="A88" s="68"/>
      <c r="B88" s="8"/>
      <c r="C88" s="8"/>
      <c r="D88" s="389"/>
      <c r="E88" s="444"/>
      <c r="F88" s="398" t="str">
        <f t="shared" si="3"/>
        <v/>
      </c>
      <c r="G88" s="387" t="str">
        <f t="shared" si="2"/>
        <v/>
      </c>
      <c r="H88" s="391"/>
    </row>
    <row r="89" spans="1:8" x14ac:dyDescent="0.25">
      <c r="A89" s="68"/>
      <c r="B89" s="8"/>
      <c r="C89" s="8"/>
      <c r="D89" s="389"/>
      <c r="E89" s="444"/>
      <c r="F89" s="398" t="str">
        <f t="shared" si="3"/>
        <v/>
      </c>
      <c r="G89" s="387" t="str">
        <f t="shared" si="2"/>
        <v/>
      </c>
      <c r="H89" s="391"/>
    </row>
    <row r="90" spans="1:8" x14ac:dyDescent="0.25">
      <c r="A90" s="68"/>
      <c r="B90" s="8"/>
      <c r="C90" s="8"/>
      <c r="D90" s="389"/>
      <c r="E90" s="444"/>
      <c r="F90" s="398" t="str">
        <f t="shared" si="3"/>
        <v/>
      </c>
      <c r="G90" s="387" t="str">
        <f t="shared" si="2"/>
        <v/>
      </c>
      <c r="H90" s="391"/>
    </row>
    <row r="91" spans="1:8" x14ac:dyDescent="0.25">
      <c r="A91" s="68"/>
      <c r="B91" s="8"/>
      <c r="C91" s="8"/>
      <c r="D91" s="389"/>
      <c r="E91" s="444"/>
      <c r="F91" s="398" t="str">
        <f t="shared" si="3"/>
        <v/>
      </c>
      <c r="G91" s="387" t="str">
        <f t="shared" si="2"/>
        <v/>
      </c>
      <c r="H91" s="391"/>
    </row>
    <row r="92" spans="1:8" x14ac:dyDescent="0.25">
      <c r="A92" s="68"/>
      <c r="B92" s="8"/>
      <c r="C92" s="8"/>
      <c r="D92" s="389"/>
      <c r="E92" s="444"/>
      <c r="F92" s="398" t="str">
        <f t="shared" si="3"/>
        <v/>
      </c>
      <c r="G92" s="387" t="str">
        <f t="shared" si="2"/>
        <v/>
      </c>
      <c r="H92" s="391"/>
    </row>
    <row r="93" spans="1:8" x14ac:dyDescent="0.25">
      <c r="A93" s="68"/>
      <c r="B93" s="8"/>
      <c r="C93" s="8"/>
      <c r="D93" s="389"/>
      <c r="E93" s="444"/>
      <c r="F93" s="398" t="str">
        <f t="shared" si="3"/>
        <v/>
      </c>
      <c r="G93" s="387" t="str">
        <f t="shared" si="2"/>
        <v/>
      </c>
      <c r="H93" s="391"/>
    </row>
    <row r="94" spans="1:8" x14ac:dyDescent="0.25">
      <c r="A94" s="68"/>
      <c r="B94" s="8"/>
      <c r="C94" s="8"/>
      <c r="D94" s="389"/>
      <c r="E94" s="444"/>
      <c r="F94" s="398" t="str">
        <f t="shared" si="3"/>
        <v/>
      </c>
      <c r="G94" s="387" t="str">
        <f t="shared" si="2"/>
        <v/>
      </c>
      <c r="H94" s="391"/>
    </row>
    <row r="95" spans="1:8" x14ac:dyDescent="0.25">
      <c r="A95" s="68"/>
      <c r="B95" s="8"/>
      <c r="C95" s="8"/>
      <c r="D95" s="389"/>
      <c r="E95" s="444"/>
      <c r="F95" s="398" t="str">
        <f t="shared" si="3"/>
        <v/>
      </c>
      <c r="G95" s="387" t="str">
        <f t="shared" si="2"/>
        <v/>
      </c>
      <c r="H95" s="391"/>
    </row>
    <row r="96" spans="1:8" x14ac:dyDescent="0.25">
      <c r="A96" s="68"/>
      <c r="B96" s="8"/>
      <c r="C96" s="8"/>
      <c r="D96" s="389"/>
      <c r="E96" s="444"/>
      <c r="F96" s="398" t="str">
        <f t="shared" si="3"/>
        <v/>
      </c>
      <c r="G96" s="387" t="str">
        <f t="shared" si="2"/>
        <v/>
      </c>
      <c r="H96" s="391"/>
    </row>
    <row r="97" spans="1:8" x14ac:dyDescent="0.25">
      <c r="A97" s="68"/>
      <c r="B97" s="8"/>
      <c r="C97" s="8"/>
      <c r="D97" s="389"/>
      <c r="E97" s="444"/>
      <c r="F97" s="398" t="str">
        <f t="shared" si="3"/>
        <v/>
      </c>
      <c r="G97" s="387" t="str">
        <f t="shared" si="2"/>
        <v/>
      </c>
      <c r="H97" s="391"/>
    </row>
    <row r="98" spans="1:8" x14ac:dyDescent="0.25">
      <c r="A98" s="68"/>
      <c r="B98" s="8"/>
      <c r="C98" s="8"/>
      <c r="D98" s="389"/>
      <c r="E98" s="444"/>
      <c r="F98" s="398" t="str">
        <f t="shared" si="3"/>
        <v/>
      </c>
      <c r="G98" s="387" t="str">
        <f t="shared" si="2"/>
        <v/>
      </c>
      <c r="H98" s="391"/>
    </row>
    <row r="99" spans="1:8" x14ac:dyDescent="0.25">
      <c r="A99" s="68"/>
      <c r="B99" s="8"/>
      <c r="C99" s="8"/>
      <c r="D99" s="389"/>
      <c r="E99" s="444"/>
      <c r="F99" s="398" t="str">
        <f t="shared" si="3"/>
        <v/>
      </c>
      <c r="G99" s="387" t="str">
        <f t="shared" si="2"/>
        <v/>
      </c>
      <c r="H99" s="391"/>
    </row>
    <row r="100" spans="1:8" x14ac:dyDescent="0.25">
      <c r="A100" s="68"/>
      <c r="B100" s="8"/>
      <c r="C100" s="8"/>
      <c r="D100" s="389"/>
      <c r="E100" s="444"/>
      <c r="F100" s="398" t="str">
        <f t="shared" si="3"/>
        <v/>
      </c>
      <c r="G100" s="387" t="str">
        <f t="shared" si="2"/>
        <v/>
      </c>
      <c r="H100" s="391"/>
    </row>
    <row r="101" spans="1:8" x14ac:dyDescent="0.25">
      <c r="A101" s="68"/>
      <c r="B101" s="8"/>
      <c r="C101" s="8"/>
      <c r="D101" s="389"/>
      <c r="E101" s="444"/>
      <c r="F101" s="398" t="str">
        <f t="shared" si="3"/>
        <v/>
      </c>
      <c r="G101" s="387" t="str">
        <f t="shared" si="2"/>
        <v/>
      </c>
      <c r="H101" s="391"/>
    </row>
    <row r="102" spans="1:8" x14ac:dyDescent="0.25">
      <c r="A102" s="68"/>
      <c r="B102" s="8"/>
      <c r="C102" s="8"/>
      <c r="D102" s="389"/>
      <c r="E102" s="444"/>
      <c r="F102" s="398" t="str">
        <f t="shared" si="3"/>
        <v/>
      </c>
      <c r="G102" s="387" t="str">
        <f t="shared" si="2"/>
        <v/>
      </c>
      <c r="H102" s="391"/>
    </row>
    <row r="103" spans="1:8" x14ac:dyDescent="0.25">
      <c r="A103" s="68"/>
      <c r="B103" s="8"/>
      <c r="C103" s="8"/>
      <c r="D103" s="389"/>
      <c r="E103" s="444"/>
      <c r="F103" s="398" t="str">
        <f t="shared" si="3"/>
        <v/>
      </c>
      <c r="G103" s="387" t="str">
        <f t="shared" si="2"/>
        <v/>
      </c>
      <c r="H103" s="391"/>
    </row>
    <row r="104" spans="1:8" x14ac:dyDescent="0.25">
      <c r="A104" s="68"/>
      <c r="B104" s="8"/>
      <c r="C104" s="8"/>
      <c r="D104" s="389"/>
      <c r="E104" s="444"/>
      <c r="F104" s="398" t="str">
        <f t="shared" si="3"/>
        <v/>
      </c>
      <c r="G104" s="387" t="str">
        <f t="shared" si="2"/>
        <v/>
      </c>
      <c r="H104" s="391"/>
    </row>
    <row r="105" spans="1:8" x14ac:dyDescent="0.25">
      <c r="A105" s="68"/>
      <c r="B105" s="8"/>
      <c r="C105" s="8"/>
      <c r="D105" s="389"/>
      <c r="E105" s="444"/>
      <c r="F105" s="398" t="str">
        <f t="shared" si="3"/>
        <v/>
      </c>
      <c r="G105" s="387" t="str">
        <f t="shared" si="2"/>
        <v/>
      </c>
      <c r="H105" s="391"/>
    </row>
    <row r="106" spans="1:8" x14ac:dyDescent="0.25">
      <c r="A106" s="68"/>
      <c r="B106" s="8"/>
      <c r="C106" s="8"/>
      <c r="D106" s="389"/>
      <c r="E106" s="444"/>
      <c r="F106" s="398" t="str">
        <f t="shared" si="3"/>
        <v/>
      </c>
      <c r="G106" s="387" t="str">
        <f t="shared" si="2"/>
        <v/>
      </c>
      <c r="H106" s="391"/>
    </row>
    <row r="107" spans="1:8" x14ac:dyDescent="0.25">
      <c r="A107" s="68"/>
      <c r="B107" s="8"/>
      <c r="C107" s="8"/>
      <c r="D107" s="389"/>
      <c r="E107" s="444"/>
      <c r="F107" s="398" t="str">
        <f t="shared" si="3"/>
        <v/>
      </c>
      <c r="G107" s="387" t="str">
        <f t="shared" si="2"/>
        <v/>
      </c>
      <c r="H107" s="391"/>
    </row>
    <row r="108" spans="1:8" x14ac:dyDescent="0.25">
      <c r="A108" s="68"/>
      <c r="B108" s="8"/>
      <c r="C108" s="8"/>
      <c r="D108" s="389"/>
      <c r="E108" s="444"/>
      <c r="F108" s="398" t="str">
        <f t="shared" si="3"/>
        <v/>
      </c>
      <c r="G108" s="387" t="str">
        <f t="shared" si="2"/>
        <v/>
      </c>
      <c r="H108" s="391"/>
    </row>
    <row r="109" spans="1:8" x14ac:dyDescent="0.25">
      <c r="A109" s="68"/>
      <c r="B109" s="8"/>
      <c r="C109" s="8"/>
      <c r="D109" s="389"/>
      <c r="E109" s="444"/>
      <c r="F109" s="398" t="str">
        <f t="shared" si="3"/>
        <v/>
      </c>
      <c r="G109" s="387" t="str">
        <f t="shared" si="2"/>
        <v/>
      </c>
      <c r="H109" s="391"/>
    </row>
    <row r="110" spans="1:8" x14ac:dyDescent="0.25">
      <c r="A110" s="68"/>
      <c r="B110" s="8"/>
      <c r="C110" s="8"/>
      <c r="D110" s="389"/>
      <c r="E110" s="444"/>
      <c r="F110" s="398" t="str">
        <f t="shared" si="3"/>
        <v/>
      </c>
      <c r="G110" s="387" t="str">
        <f t="shared" si="2"/>
        <v/>
      </c>
      <c r="H110" s="391"/>
    </row>
    <row r="111" spans="1:8" x14ac:dyDescent="0.25">
      <c r="A111" s="68"/>
      <c r="B111" s="8"/>
      <c r="C111" s="8"/>
      <c r="D111" s="389"/>
      <c r="E111" s="444"/>
      <c r="F111" s="398" t="str">
        <f t="shared" si="3"/>
        <v/>
      </c>
      <c r="G111" s="387" t="str">
        <f t="shared" si="2"/>
        <v/>
      </c>
      <c r="H111" s="391"/>
    </row>
    <row r="112" spans="1:8" x14ac:dyDescent="0.25">
      <c r="A112" s="68"/>
      <c r="B112" s="8"/>
      <c r="C112" s="8"/>
      <c r="D112" s="389"/>
      <c r="E112" s="444"/>
      <c r="F112" s="398" t="str">
        <f t="shared" si="3"/>
        <v/>
      </c>
      <c r="G112" s="387" t="str">
        <f t="shared" si="2"/>
        <v/>
      </c>
      <c r="H112" s="391"/>
    </row>
    <row r="113" spans="1:8" x14ac:dyDescent="0.25">
      <c r="A113" s="68"/>
      <c r="B113" s="8"/>
      <c r="C113" s="8"/>
      <c r="D113" s="389"/>
      <c r="E113" s="444"/>
      <c r="F113" s="398" t="str">
        <f t="shared" si="3"/>
        <v/>
      </c>
      <c r="G113" s="387" t="str">
        <f t="shared" ref="G113:G122" si="4">IF(AND(V113&gt;60,E114&lt;&gt;0),"TB",IF(E114&lt;&gt;0,"B",""))</f>
        <v/>
      </c>
      <c r="H113" s="391"/>
    </row>
    <row r="114" spans="1:8" x14ac:dyDescent="0.25">
      <c r="A114" s="68"/>
      <c r="B114" s="8"/>
      <c r="C114" s="8"/>
      <c r="D114" s="389"/>
      <c r="E114" s="444"/>
      <c r="F114" s="398" t="str">
        <f t="shared" si="3"/>
        <v/>
      </c>
      <c r="G114" s="387" t="str">
        <f t="shared" si="4"/>
        <v/>
      </c>
      <c r="H114" s="391"/>
    </row>
    <row r="115" spans="1:8" x14ac:dyDescent="0.25">
      <c r="A115" s="68"/>
      <c r="B115" s="8"/>
      <c r="C115" s="8"/>
      <c r="D115" s="389"/>
      <c r="E115" s="444"/>
      <c r="F115" s="398" t="str">
        <f t="shared" si="3"/>
        <v/>
      </c>
      <c r="G115" s="387" t="str">
        <f t="shared" si="4"/>
        <v/>
      </c>
      <c r="H115" s="391"/>
    </row>
    <row r="116" spans="1:8" x14ac:dyDescent="0.25">
      <c r="A116" s="68"/>
      <c r="B116" s="8"/>
      <c r="C116" s="8"/>
      <c r="D116" s="389"/>
      <c r="E116" s="444"/>
      <c r="F116" s="398" t="str">
        <f t="shared" si="3"/>
        <v/>
      </c>
      <c r="G116" s="387" t="str">
        <f t="shared" si="4"/>
        <v/>
      </c>
      <c r="H116" s="391"/>
    </row>
    <row r="117" spans="1:8" x14ac:dyDescent="0.25">
      <c r="A117" s="68"/>
      <c r="B117" s="8"/>
      <c r="C117" s="8"/>
      <c r="D117" s="389"/>
      <c r="E117" s="444"/>
      <c r="F117" s="398" t="str">
        <f t="shared" si="3"/>
        <v/>
      </c>
      <c r="G117" s="387" t="str">
        <f t="shared" si="4"/>
        <v/>
      </c>
      <c r="H117" s="391"/>
    </row>
    <row r="118" spans="1:8" x14ac:dyDescent="0.25">
      <c r="A118" s="68"/>
      <c r="B118" s="8"/>
      <c r="C118" s="8"/>
      <c r="D118" s="389"/>
      <c r="E118" s="444"/>
      <c r="F118" s="398" t="str">
        <f t="shared" si="3"/>
        <v/>
      </c>
      <c r="G118" s="387" t="str">
        <f t="shared" si="4"/>
        <v/>
      </c>
      <c r="H118" s="391"/>
    </row>
    <row r="119" spans="1:8" x14ac:dyDescent="0.25">
      <c r="A119" s="68"/>
      <c r="B119" s="8"/>
      <c r="C119" s="8"/>
      <c r="D119" s="389"/>
      <c r="E119" s="444"/>
      <c r="F119" s="398" t="str">
        <f t="shared" si="3"/>
        <v/>
      </c>
      <c r="G119" s="387" t="str">
        <f t="shared" si="4"/>
        <v/>
      </c>
      <c r="H119" s="391"/>
    </row>
    <row r="120" spans="1:8" x14ac:dyDescent="0.25">
      <c r="A120" s="68"/>
      <c r="B120" s="8"/>
      <c r="C120" s="8"/>
      <c r="D120" s="389"/>
      <c r="E120" s="444"/>
      <c r="F120" s="398" t="str">
        <f t="shared" si="3"/>
        <v/>
      </c>
      <c r="G120" s="387" t="str">
        <f t="shared" si="4"/>
        <v/>
      </c>
      <c r="H120" s="391"/>
    </row>
    <row r="121" spans="1:8" x14ac:dyDescent="0.25">
      <c r="A121" s="68"/>
      <c r="B121" s="8"/>
      <c r="C121" s="8"/>
      <c r="D121" s="389"/>
      <c r="E121" s="444"/>
      <c r="F121" s="398" t="str">
        <f t="shared" si="3"/>
        <v/>
      </c>
      <c r="G121" s="387" t="str">
        <f t="shared" si="4"/>
        <v/>
      </c>
      <c r="H121" s="391"/>
    </row>
    <row r="122" spans="1:8" ht="15.75" thickBot="1" x14ac:dyDescent="0.3">
      <c r="A122" s="79"/>
      <c r="B122" s="9"/>
      <c r="C122" s="9"/>
      <c r="D122" s="390"/>
      <c r="E122" s="445"/>
      <c r="F122" s="398" t="str">
        <f t="shared" si="3"/>
        <v/>
      </c>
      <c r="G122" s="387" t="str">
        <f t="shared" si="4"/>
        <v/>
      </c>
      <c r="H122" s="391"/>
    </row>
  </sheetData>
  <sheetProtection selectLockedCells="1"/>
  <mergeCells count="9">
    <mergeCell ref="A1:H1"/>
    <mergeCell ref="A2:H2"/>
    <mergeCell ref="C3:I3"/>
    <mergeCell ref="C4:D5"/>
    <mergeCell ref="H4:H13"/>
    <mergeCell ref="C6:D7"/>
    <mergeCell ref="C8:D9"/>
    <mergeCell ref="C10:D11"/>
    <mergeCell ref="C12:D13"/>
  </mergeCells>
  <pageMargins left="0.7" right="0.7" top="0.75" bottom="0.75" header="0.3" footer="0.3"/>
  <pageSetup paperSize="9" scale="59" orientation="portrait" r:id="rId1"/>
  <colBreaks count="1" manualBreakCount="1">
    <brk id="8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actualiser_tout">
                <anchor moveWithCells="1" sizeWithCells="1">
                  <from>
                    <xdr:col>9</xdr:col>
                    <xdr:colOff>123825</xdr:colOff>
                    <xdr:row>16</xdr:row>
                    <xdr:rowOff>38100</xdr:rowOff>
                  </from>
                  <to>
                    <xdr:col>10</xdr:col>
                    <xdr:colOff>457200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actualiser_tout">
                <anchor moveWithCells="1" sizeWithCells="1">
                  <from>
                    <xdr:col>10</xdr:col>
                    <xdr:colOff>561975</xdr:colOff>
                    <xdr:row>16</xdr:row>
                    <xdr:rowOff>38100</xdr:rowOff>
                  </from>
                  <to>
                    <xdr:col>11</xdr:col>
                    <xdr:colOff>466725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actualiser_tout">
                <anchor moveWithCells="1" sizeWithCells="1">
                  <from>
                    <xdr:col>11</xdr:col>
                    <xdr:colOff>571500</xdr:colOff>
                    <xdr:row>16</xdr:row>
                    <xdr:rowOff>38100</xdr:rowOff>
                  </from>
                  <to>
                    <xdr:col>12</xdr:col>
                    <xdr:colOff>571500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lessThanOrEqual" id="{540910C3-6E46-46E1-91D0-629D396B3A2E}">
            <xm:f>DashBoard!$O$11</xm:f>
            <x14:dxf>
              <font>
                <b/>
                <i val="0"/>
                <color rgb="FFFF0000"/>
              </font>
              <fill>
                <patternFill>
                  <bgColor theme="0" tint="-4.9989318521683403E-2"/>
                </patternFill>
              </fill>
            </x14:dxf>
          </x14:cfRule>
          <xm:sqref>E17:E122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0982-24A8-44C9-AE54-C21F4292E37E}">
  <sheetPr codeName="Feuil14"/>
  <dimension ref="A1:P122"/>
  <sheetViews>
    <sheetView zoomScale="80" zoomScaleNormal="80" zoomScaleSheetLayoutView="80" workbookViewId="0">
      <selection activeCell="K12" sqref="K12"/>
    </sheetView>
  </sheetViews>
  <sheetFormatPr baseColWidth="10" defaultRowHeight="15" x14ac:dyDescent="0.25"/>
  <cols>
    <col min="1" max="1" width="16.140625" customWidth="1"/>
    <col min="2" max="2" width="50.28515625" customWidth="1"/>
    <col min="3" max="3" width="6" customWidth="1"/>
    <col min="4" max="4" width="10.42578125" customWidth="1"/>
    <col min="5" max="5" width="6.28515625" customWidth="1"/>
    <col min="6" max="6" width="7" customWidth="1"/>
    <col min="7" max="7" width="10" customWidth="1"/>
    <col min="8" max="8" width="12.7109375" customWidth="1"/>
    <col min="9" max="9" width="25.7109375" customWidth="1"/>
    <col min="10" max="10" width="3.140625" customWidth="1"/>
  </cols>
  <sheetData>
    <row r="1" spans="1:16" ht="26.25" customHeight="1" thickBot="1" x14ac:dyDescent="0.3">
      <c r="A1" s="573" t="s">
        <v>307</v>
      </c>
      <c r="B1" s="573"/>
      <c r="C1" s="573"/>
      <c r="D1" s="573"/>
      <c r="E1" s="573"/>
      <c r="F1" s="573"/>
      <c r="G1" s="573"/>
      <c r="H1" s="573"/>
      <c r="I1" s="573"/>
    </row>
    <row r="2" spans="1:16" ht="26.25" customHeight="1" thickBot="1" x14ac:dyDescent="0.3">
      <c r="A2" s="574" t="str">
        <f>"ANNEE SCOLAIRE "&amp;DashBoard!S5</f>
        <v>ANNEE SCOLAIRE 2025-2026</v>
      </c>
      <c r="B2" s="574"/>
      <c r="C2" s="574"/>
      <c r="D2" s="574"/>
      <c r="E2" s="574"/>
      <c r="F2" s="574"/>
      <c r="G2" s="574"/>
      <c r="H2" s="574"/>
      <c r="I2" s="574"/>
    </row>
    <row r="3" spans="1:16" ht="34.5" customHeight="1" thickBot="1" x14ac:dyDescent="0.4">
      <c r="A3" s="442" t="s">
        <v>298</v>
      </c>
      <c r="B3" s="81"/>
      <c r="C3" s="575" t="s">
        <v>297</v>
      </c>
      <c r="D3" s="576"/>
      <c r="E3" s="576"/>
      <c r="F3" s="576"/>
      <c r="G3" s="576"/>
      <c r="H3" s="576"/>
      <c r="I3" s="577"/>
    </row>
    <row r="4" spans="1:16" ht="22.5" customHeight="1" thickBot="1" x14ac:dyDescent="0.4">
      <c r="A4" s="442" t="s">
        <v>299</v>
      </c>
      <c r="B4" s="459" t="str">
        <f>DashBoard!S7</f>
        <v>2ème HTS</v>
      </c>
      <c r="C4" s="578" t="s">
        <v>291</v>
      </c>
      <c r="D4" s="579"/>
      <c r="E4" s="451" t="s">
        <v>149</v>
      </c>
      <c r="F4" s="458">
        <v>5</v>
      </c>
      <c r="G4" s="451" t="s">
        <v>292</v>
      </c>
      <c r="H4" s="582" t="s">
        <v>296</v>
      </c>
      <c r="I4" s="450">
        <v>62.5</v>
      </c>
    </row>
    <row r="5" spans="1:16" ht="24" customHeight="1" thickBot="1" x14ac:dyDescent="0.4">
      <c r="A5" s="442" t="s">
        <v>300</v>
      </c>
      <c r="B5" s="432"/>
      <c r="C5" s="580"/>
      <c r="D5" s="581"/>
      <c r="E5" s="452" t="s">
        <v>255</v>
      </c>
      <c r="F5" s="447">
        <v>3</v>
      </c>
      <c r="G5" s="448">
        <v>8</v>
      </c>
      <c r="H5" s="583"/>
      <c r="I5" s="449">
        <v>37.5</v>
      </c>
    </row>
    <row r="6" spans="1:16" ht="24" thickBot="1" x14ac:dyDescent="0.4">
      <c r="A6" s="81"/>
      <c r="B6" s="433"/>
      <c r="C6" s="585" t="s">
        <v>293</v>
      </c>
      <c r="D6" s="586"/>
      <c r="E6" s="453" t="s">
        <v>149</v>
      </c>
      <c r="F6" s="446">
        <v>15</v>
      </c>
      <c r="G6" s="453" t="s">
        <v>292</v>
      </c>
      <c r="H6" s="583"/>
      <c r="I6" s="450">
        <v>44.117647058823529</v>
      </c>
    </row>
    <row r="7" spans="1:16" ht="24" thickBot="1" x14ac:dyDescent="0.4">
      <c r="A7" s="89"/>
      <c r="B7" s="382"/>
      <c r="C7" s="580"/>
      <c r="D7" s="581"/>
      <c r="E7" s="454" t="s">
        <v>255</v>
      </c>
      <c r="F7" s="447">
        <v>19</v>
      </c>
      <c r="G7" s="448">
        <v>34</v>
      </c>
      <c r="H7" s="583"/>
      <c r="I7" s="449">
        <v>55.882352941176471</v>
      </c>
    </row>
    <row r="8" spans="1:16" s="85" customFormat="1" ht="24" customHeight="1" thickBot="1" x14ac:dyDescent="0.4">
      <c r="A8"/>
      <c r="B8" s="382"/>
      <c r="C8" s="587" t="s">
        <v>294</v>
      </c>
      <c r="D8" s="588"/>
      <c r="E8" s="452" t="s">
        <v>149</v>
      </c>
      <c r="F8" s="446"/>
      <c r="G8" s="451" t="s">
        <v>292</v>
      </c>
      <c r="H8" s="583"/>
      <c r="I8" s="450"/>
    </row>
    <row r="9" spans="1:16" s="85" customFormat="1" ht="24" thickBot="1" x14ac:dyDescent="0.4">
      <c r="A9"/>
      <c r="B9" s="382"/>
      <c r="C9" s="589"/>
      <c r="D9" s="590"/>
      <c r="E9" s="452" t="s">
        <v>255</v>
      </c>
      <c r="F9" s="447"/>
      <c r="G9" s="448"/>
      <c r="H9" s="583"/>
      <c r="I9" s="449"/>
    </row>
    <row r="10" spans="1:16" ht="24" thickBot="1" x14ac:dyDescent="0.4">
      <c r="B10" s="382"/>
      <c r="C10" s="585" t="s">
        <v>295</v>
      </c>
      <c r="D10" s="586"/>
      <c r="E10" s="452" t="s">
        <v>149</v>
      </c>
      <c r="F10" s="446">
        <v>3</v>
      </c>
      <c r="G10" s="451" t="s">
        <v>292</v>
      </c>
      <c r="H10" s="583"/>
      <c r="I10" s="450">
        <v>42.857142857142854</v>
      </c>
    </row>
    <row r="11" spans="1:16" ht="24" thickBot="1" x14ac:dyDescent="0.4">
      <c r="B11" s="382"/>
      <c r="C11" s="580"/>
      <c r="D11" s="581"/>
      <c r="E11" s="455" t="s">
        <v>255</v>
      </c>
      <c r="F11" s="447">
        <v>4</v>
      </c>
      <c r="G11" s="448">
        <v>7</v>
      </c>
      <c r="H11" s="583"/>
      <c r="I11" s="449">
        <v>57.142857142857139</v>
      </c>
    </row>
    <row r="12" spans="1:16" ht="24" customHeight="1" thickBot="1" x14ac:dyDescent="0.4">
      <c r="B12" s="382"/>
      <c r="C12" s="585" t="s">
        <v>302</v>
      </c>
      <c r="D12" s="586"/>
      <c r="E12" s="456" t="s">
        <v>149</v>
      </c>
      <c r="F12" s="446">
        <v>23</v>
      </c>
      <c r="G12" s="456" t="s">
        <v>292</v>
      </c>
      <c r="H12" s="583"/>
      <c r="I12" s="450">
        <v>46.938775510204081</v>
      </c>
    </row>
    <row r="13" spans="1:16" ht="24" thickBot="1" x14ac:dyDescent="0.4">
      <c r="C13" s="580"/>
      <c r="D13" s="581"/>
      <c r="E13" s="457" t="s">
        <v>255</v>
      </c>
      <c r="F13" s="447">
        <v>26</v>
      </c>
      <c r="G13" s="448">
        <v>49</v>
      </c>
      <c r="H13" s="584"/>
      <c r="I13" s="449">
        <v>53.061224489795919</v>
      </c>
    </row>
    <row r="14" spans="1:16" ht="56.25" customHeight="1" thickBot="1" x14ac:dyDescent="0.3">
      <c r="A14" s="85"/>
      <c r="B14" s="89"/>
      <c r="C14" s="437"/>
      <c r="D14" s="438" t="s">
        <v>262</v>
      </c>
      <c r="E14" s="439" t="s">
        <v>219</v>
      </c>
      <c r="F14" s="440" t="s">
        <v>266</v>
      </c>
      <c r="G14" s="438" t="s">
        <v>263</v>
      </c>
      <c r="H14" s="440" t="s">
        <v>265</v>
      </c>
      <c r="I14" s="441" t="s">
        <v>264</v>
      </c>
      <c r="K14" s="399" t="s">
        <v>267</v>
      </c>
      <c r="L14" s="400"/>
      <c r="M14" s="400"/>
      <c r="N14" s="400"/>
      <c r="O14" s="400"/>
      <c r="P14" s="401"/>
    </row>
    <row r="15" spans="1:16" ht="15.75" thickBot="1" x14ac:dyDescent="0.3">
      <c r="A15" s="392"/>
      <c r="B15" s="384" t="s">
        <v>173</v>
      </c>
      <c r="C15" s="434"/>
      <c r="D15" s="435">
        <v>530</v>
      </c>
      <c r="E15" s="436">
        <v>100</v>
      </c>
      <c r="F15" s="436"/>
      <c r="G15" s="247"/>
      <c r="H15" s="248"/>
      <c r="I15" s="249"/>
      <c r="K15" s="4"/>
      <c r="P15" s="5"/>
    </row>
    <row r="16" spans="1:16" ht="15.75" thickBot="1" x14ac:dyDescent="0.3">
      <c r="A16" s="393" t="s">
        <v>172</v>
      </c>
      <c r="B16" s="383" t="s">
        <v>161</v>
      </c>
      <c r="C16" s="383" t="s">
        <v>162</v>
      </c>
      <c r="D16" s="385">
        <v>1</v>
      </c>
      <c r="E16" s="307">
        <v>2</v>
      </c>
      <c r="F16" s="397"/>
      <c r="G16" s="307">
        <v>3</v>
      </c>
      <c r="H16" s="307">
        <v>4</v>
      </c>
      <c r="I16" s="386">
        <v>5</v>
      </c>
      <c r="K16" s="4"/>
      <c r="P16" s="5"/>
    </row>
    <row r="17" spans="1:16" x14ac:dyDescent="0.25">
      <c r="A17" s="78" t="s">
        <v>142</v>
      </c>
      <c r="B17" s="51" t="s">
        <v>48</v>
      </c>
      <c r="C17" s="51"/>
      <c r="D17" s="388"/>
      <c r="E17" s="443"/>
      <c r="F17" s="398" t="str">
        <f>IFERROR(IF(D17:D17&lt;&gt;"",RANK(E17,E$17:E$122,0),""),"")</f>
        <v/>
      </c>
      <c r="G17" s="394"/>
      <c r="H17" s="387"/>
      <c r="I17" s="391"/>
      <c r="K17" s="4"/>
      <c r="P17" s="5"/>
    </row>
    <row r="18" spans="1:16" x14ac:dyDescent="0.25">
      <c r="A18" s="68" t="s">
        <v>47</v>
      </c>
      <c r="B18" s="8" t="s">
        <v>50</v>
      </c>
      <c r="C18" s="8"/>
      <c r="D18" s="389"/>
      <c r="E18" s="444"/>
      <c r="F18" s="398" t="str">
        <f>IFERROR(IF(D18:D18&lt;&gt;"",RANK(E18,E$17:E$122,0),""),"")</f>
        <v/>
      </c>
      <c r="G18" s="395"/>
      <c r="H18" s="387"/>
      <c r="I18" s="391"/>
      <c r="K18" s="4"/>
      <c r="P18" s="5"/>
    </row>
    <row r="19" spans="1:16" x14ac:dyDescent="0.25">
      <c r="A19" s="68" t="s">
        <v>49</v>
      </c>
      <c r="B19" s="8" t="s">
        <v>52</v>
      </c>
      <c r="C19" s="8"/>
      <c r="D19" s="389"/>
      <c r="E19" s="444"/>
      <c r="F19" s="398" t="str">
        <f t="shared" ref="F19:F81" si="0">IFERROR(IF(D19:D19&lt;&gt;"",RANK(E19,E$17:E$122,0),""),"")</f>
        <v/>
      </c>
      <c r="G19" s="395"/>
      <c r="H19" s="387"/>
      <c r="I19" s="391"/>
      <c r="K19" s="4"/>
      <c r="P19" s="5"/>
    </row>
    <row r="20" spans="1:16" ht="15.75" thickBot="1" x14ac:dyDescent="0.3">
      <c r="A20" s="68" t="s">
        <v>51</v>
      </c>
      <c r="B20" s="8" t="s">
        <v>54</v>
      </c>
      <c r="C20" s="8"/>
      <c r="D20" s="389"/>
      <c r="E20" s="444"/>
      <c r="F20" s="398" t="str">
        <f t="shared" si="0"/>
        <v/>
      </c>
      <c r="G20" s="395"/>
      <c r="H20" s="387"/>
      <c r="I20" s="391"/>
      <c r="K20" s="14"/>
      <c r="L20" s="15"/>
      <c r="M20" s="15"/>
      <c r="N20" s="15"/>
      <c r="O20" s="15"/>
      <c r="P20" s="16"/>
    </row>
    <row r="21" spans="1:16" ht="105" x14ac:dyDescent="0.25">
      <c r="A21" s="68" t="s">
        <v>53</v>
      </c>
      <c r="B21" s="8" t="s">
        <v>56</v>
      </c>
      <c r="C21" s="8"/>
      <c r="D21" s="389">
        <v>170</v>
      </c>
      <c r="E21" s="444">
        <v>32.075471698113205</v>
      </c>
      <c r="F21" s="398">
        <f t="shared" si="0"/>
        <v>16</v>
      </c>
      <c r="G21" s="395">
        <v>9</v>
      </c>
      <c r="H21" s="387" t="s">
        <v>305</v>
      </c>
      <c r="I21" s="391" t="s">
        <v>308</v>
      </c>
    </row>
    <row r="22" spans="1:16" ht="195" x14ac:dyDescent="0.25">
      <c r="A22" s="68" t="s">
        <v>55</v>
      </c>
      <c r="B22" s="8" t="s">
        <v>58</v>
      </c>
      <c r="C22" s="8"/>
      <c r="D22" s="389">
        <v>68</v>
      </c>
      <c r="E22" s="444">
        <v>12.830188679245284</v>
      </c>
      <c r="F22" s="398">
        <f>IFERROR(IF(D22:D22&lt;&gt;"",RANK(E22,E$17:E$122,0),""),"")</f>
        <v>30</v>
      </c>
      <c r="G22" s="395">
        <v>17</v>
      </c>
      <c r="H22" s="387" t="s">
        <v>305</v>
      </c>
      <c r="I22" s="391" t="s">
        <v>303</v>
      </c>
    </row>
    <row r="23" spans="1:16" ht="105" x14ac:dyDescent="0.25">
      <c r="A23" s="68" t="s">
        <v>57</v>
      </c>
      <c r="B23" s="8" t="s">
        <v>60</v>
      </c>
      <c r="C23" s="8"/>
      <c r="D23" s="389">
        <v>204</v>
      </c>
      <c r="E23" s="444">
        <v>38.490566037735853</v>
      </c>
      <c r="F23" s="398">
        <f t="shared" si="0"/>
        <v>12</v>
      </c>
      <c r="G23" s="395">
        <v>9</v>
      </c>
      <c r="H23" s="387" t="s">
        <v>305</v>
      </c>
      <c r="I23" s="391" t="s">
        <v>308</v>
      </c>
    </row>
    <row r="24" spans="1:16" ht="60" x14ac:dyDescent="0.25">
      <c r="A24" s="68" t="s">
        <v>59</v>
      </c>
      <c r="B24" s="8" t="s">
        <v>62</v>
      </c>
      <c r="C24" s="8"/>
      <c r="D24" s="389">
        <v>323</v>
      </c>
      <c r="E24" s="444">
        <v>60.943396226415089</v>
      </c>
      <c r="F24" s="398">
        <f t="shared" si="0"/>
        <v>4</v>
      </c>
      <c r="G24" s="395">
        <v>5</v>
      </c>
      <c r="H24" s="387" t="s">
        <v>305</v>
      </c>
      <c r="I24" s="391" t="s">
        <v>309</v>
      </c>
    </row>
    <row r="25" spans="1:16" x14ac:dyDescent="0.25">
      <c r="A25" s="68" t="s">
        <v>61</v>
      </c>
      <c r="B25" s="8" t="s">
        <v>64</v>
      </c>
      <c r="C25" s="8"/>
      <c r="D25" s="389"/>
      <c r="E25" s="444"/>
      <c r="F25" s="398" t="str">
        <f t="shared" si="0"/>
        <v/>
      </c>
      <c r="G25" s="395"/>
      <c r="H25" s="387"/>
      <c r="I25" s="391"/>
    </row>
    <row r="26" spans="1:16" ht="60" x14ac:dyDescent="0.25">
      <c r="A26" s="68" t="s">
        <v>63</v>
      </c>
      <c r="B26" s="8" t="s">
        <v>66</v>
      </c>
      <c r="C26" s="8"/>
      <c r="D26" s="389">
        <v>255</v>
      </c>
      <c r="E26" s="444">
        <v>48.113207547169814</v>
      </c>
      <c r="F26" s="398">
        <f t="shared" si="0"/>
        <v>9</v>
      </c>
      <c r="G26" s="395">
        <v>5</v>
      </c>
      <c r="H26" s="387" t="s">
        <v>305</v>
      </c>
      <c r="I26" s="391" t="s">
        <v>309</v>
      </c>
    </row>
    <row r="27" spans="1:16" ht="195" x14ac:dyDescent="0.25">
      <c r="A27" s="68" t="s">
        <v>65</v>
      </c>
      <c r="B27" s="8" t="s">
        <v>68</v>
      </c>
      <c r="C27" s="8"/>
      <c r="D27" s="389">
        <v>51</v>
      </c>
      <c r="E27" s="444">
        <v>9.6226415094339632</v>
      </c>
      <c r="F27" s="398">
        <f t="shared" si="0"/>
        <v>31</v>
      </c>
      <c r="G27" s="395">
        <v>17</v>
      </c>
      <c r="H27" s="387" t="s">
        <v>305</v>
      </c>
      <c r="I27" s="391" t="s">
        <v>303</v>
      </c>
    </row>
    <row r="28" spans="1:16" x14ac:dyDescent="0.25">
      <c r="A28" s="68" t="s">
        <v>67</v>
      </c>
      <c r="B28" s="8" t="s">
        <v>70</v>
      </c>
      <c r="C28" s="8"/>
      <c r="D28" s="389"/>
      <c r="E28" s="444"/>
      <c r="F28" s="398" t="str">
        <f t="shared" si="0"/>
        <v/>
      </c>
      <c r="G28" s="395"/>
      <c r="H28" s="387"/>
      <c r="I28" s="391"/>
    </row>
    <row r="29" spans="1:16" ht="180" x14ac:dyDescent="0.25">
      <c r="A29" s="68" t="s">
        <v>69</v>
      </c>
      <c r="B29" s="8" t="s">
        <v>72</v>
      </c>
      <c r="C29" s="8"/>
      <c r="D29" s="389">
        <v>102</v>
      </c>
      <c r="E29" s="444">
        <v>19.245283018867926</v>
      </c>
      <c r="F29" s="398">
        <f t="shared" si="0"/>
        <v>17</v>
      </c>
      <c r="G29" s="395">
        <v>16</v>
      </c>
      <c r="H29" s="387" t="s">
        <v>305</v>
      </c>
      <c r="I29" s="391" t="s">
        <v>310</v>
      </c>
    </row>
    <row r="30" spans="1:16" x14ac:dyDescent="0.25">
      <c r="A30" s="68" t="s">
        <v>71</v>
      </c>
      <c r="B30" s="8" t="s">
        <v>74</v>
      </c>
      <c r="C30" s="8"/>
      <c r="D30" s="389">
        <v>6402</v>
      </c>
      <c r="E30" s="444">
        <v>1207.9245283018868</v>
      </c>
      <c r="F30" s="398">
        <f t="shared" si="0"/>
        <v>1</v>
      </c>
      <c r="G30" s="395">
        <v>1</v>
      </c>
      <c r="H30" s="387" t="s">
        <v>305</v>
      </c>
      <c r="I30" s="391" t="s">
        <v>311</v>
      </c>
    </row>
    <row r="31" spans="1:16" ht="195" x14ac:dyDescent="0.25">
      <c r="A31" s="68" t="s">
        <v>73</v>
      </c>
      <c r="B31" s="8" t="s">
        <v>76</v>
      </c>
      <c r="C31" s="8"/>
      <c r="D31" s="389">
        <v>34</v>
      </c>
      <c r="E31" s="444">
        <v>6.4150943396226419</v>
      </c>
      <c r="F31" s="398">
        <f t="shared" si="0"/>
        <v>34</v>
      </c>
      <c r="G31" s="395">
        <v>17</v>
      </c>
      <c r="H31" s="387" t="s">
        <v>305</v>
      </c>
      <c r="I31" s="391" t="s">
        <v>303</v>
      </c>
    </row>
    <row r="32" spans="1:16" x14ac:dyDescent="0.25">
      <c r="A32" s="68" t="s">
        <v>75</v>
      </c>
      <c r="B32" s="8" t="s">
        <v>78</v>
      </c>
      <c r="C32" s="8"/>
      <c r="D32" s="389">
        <v>476</v>
      </c>
      <c r="E32" s="444">
        <v>89.811320754716988</v>
      </c>
      <c r="F32" s="398">
        <f t="shared" si="0"/>
        <v>2</v>
      </c>
      <c r="G32" s="395">
        <v>1</v>
      </c>
      <c r="H32" s="387" t="s">
        <v>305</v>
      </c>
      <c r="I32" s="391" t="s">
        <v>312</v>
      </c>
    </row>
    <row r="33" spans="1:9" ht="180" x14ac:dyDescent="0.25">
      <c r="A33" s="68" t="s">
        <v>77</v>
      </c>
      <c r="B33" s="8" t="s">
        <v>80</v>
      </c>
      <c r="C33" s="8"/>
      <c r="D33" s="389">
        <v>102</v>
      </c>
      <c r="E33" s="444">
        <v>19.245283018867926</v>
      </c>
      <c r="F33" s="398">
        <f t="shared" si="0"/>
        <v>17</v>
      </c>
      <c r="G33" s="395">
        <v>16</v>
      </c>
      <c r="H33" s="387" t="s">
        <v>305</v>
      </c>
      <c r="I33" s="391" t="s">
        <v>310</v>
      </c>
    </row>
    <row r="34" spans="1:9" x14ac:dyDescent="0.25">
      <c r="A34" s="68" t="s">
        <v>79</v>
      </c>
      <c r="B34" s="8" t="s">
        <v>82</v>
      </c>
      <c r="C34" s="8"/>
      <c r="D34" s="389"/>
      <c r="E34" s="444"/>
      <c r="F34" s="398" t="str">
        <f t="shared" si="0"/>
        <v/>
      </c>
      <c r="G34" s="395"/>
      <c r="H34" s="387"/>
      <c r="I34" s="391"/>
    </row>
    <row r="35" spans="1:9" ht="195" x14ac:dyDescent="0.25">
      <c r="A35" s="68" t="s">
        <v>81</v>
      </c>
      <c r="B35" s="8" t="s">
        <v>84</v>
      </c>
      <c r="C35" s="8"/>
      <c r="D35" s="389">
        <v>34</v>
      </c>
      <c r="E35" s="444">
        <v>6.4150943396226419</v>
      </c>
      <c r="F35" s="398">
        <f t="shared" si="0"/>
        <v>34</v>
      </c>
      <c r="G35" s="395">
        <v>17</v>
      </c>
      <c r="H35" s="387" t="s">
        <v>305</v>
      </c>
      <c r="I35" s="391" t="s">
        <v>303</v>
      </c>
    </row>
    <row r="36" spans="1:9" ht="60" x14ac:dyDescent="0.25">
      <c r="A36" s="68" t="s">
        <v>83</v>
      </c>
      <c r="B36" s="8" t="s">
        <v>86</v>
      </c>
      <c r="C36" s="8"/>
      <c r="D36" s="389">
        <v>306</v>
      </c>
      <c r="E36" s="444">
        <v>57.735849056603769</v>
      </c>
      <c r="F36" s="398">
        <f t="shared" si="0"/>
        <v>7</v>
      </c>
      <c r="G36" s="395">
        <v>5</v>
      </c>
      <c r="H36" s="387" t="s">
        <v>305</v>
      </c>
      <c r="I36" s="391" t="s">
        <v>309</v>
      </c>
    </row>
    <row r="37" spans="1:9" ht="195" x14ac:dyDescent="0.25">
      <c r="A37" s="68" t="s">
        <v>85</v>
      </c>
      <c r="B37" s="8" t="s">
        <v>88</v>
      </c>
      <c r="C37" s="8"/>
      <c r="D37" s="389">
        <v>34</v>
      </c>
      <c r="E37" s="444">
        <v>6.4150943396226419</v>
      </c>
      <c r="F37" s="398">
        <f t="shared" si="0"/>
        <v>34</v>
      </c>
      <c r="G37" s="395">
        <v>17</v>
      </c>
      <c r="H37" s="387" t="s">
        <v>305</v>
      </c>
      <c r="I37" s="391" t="s">
        <v>303</v>
      </c>
    </row>
    <row r="38" spans="1:9" ht="180" x14ac:dyDescent="0.25">
      <c r="A38" s="68" t="s">
        <v>87</v>
      </c>
      <c r="B38" s="8" t="s">
        <v>90</v>
      </c>
      <c r="C38" s="8"/>
      <c r="D38" s="389">
        <v>102</v>
      </c>
      <c r="E38" s="444">
        <v>19.245283018867926</v>
      </c>
      <c r="F38" s="398">
        <f t="shared" si="0"/>
        <v>17</v>
      </c>
      <c r="G38" s="395">
        <v>16</v>
      </c>
      <c r="H38" s="387" t="s">
        <v>305</v>
      </c>
      <c r="I38" s="391" t="s">
        <v>310</v>
      </c>
    </row>
    <row r="39" spans="1:9" ht="180" x14ac:dyDescent="0.25">
      <c r="A39" s="68" t="s">
        <v>89</v>
      </c>
      <c r="B39" s="8" t="s">
        <v>92</v>
      </c>
      <c r="C39" s="8"/>
      <c r="D39" s="389">
        <v>102</v>
      </c>
      <c r="E39" s="444">
        <v>19.245283018867926</v>
      </c>
      <c r="F39" s="398">
        <f t="shared" si="0"/>
        <v>17</v>
      </c>
      <c r="G39" s="395">
        <v>16</v>
      </c>
      <c r="H39" s="387" t="s">
        <v>305</v>
      </c>
      <c r="I39" s="391" t="s">
        <v>310</v>
      </c>
    </row>
    <row r="40" spans="1:9" ht="60" x14ac:dyDescent="0.25">
      <c r="A40" s="68" t="s">
        <v>91</v>
      </c>
      <c r="B40" s="8" t="s">
        <v>94</v>
      </c>
      <c r="C40" s="8"/>
      <c r="D40" s="389">
        <v>323</v>
      </c>
      <c r="E40" s="444">
        <v>60.943396226415089</v>
      </c>
      <c r="F40" s="398">
        <f t="shared" si="0"/>
        <v>4</v>
      </c>
      <c r="G40" s="395">
        <v>5</v>
      </c>
      <c r="H40" s="387" t="s">
        <v>305</v>
      </c>
      <c r="I40" s="391" t="s">
        <v>309</v>
      </c>
    </row>
    <row r="41" spans="1:9" ht="195" x14ac:dyDescent="0.25">
      <c r="A41" s="68" t="s">
        <v>93</v>
      </c>
      <c r="B41" s="8" t="s">
        <v>96</v>
      </c>
      <c r="C41" s="8"/>
      <c r="D41" s="389">
        <v>34</v>
      </c>
      <c r="E41" s="444">
        <v>6.4150943396226419</v>
      </c>
      <c r="F41" s="398">
        <f t="shared" si="0"/>
        <v>34</v>
      </c>
      <c r="G41" s="395">
        <v>17</v>
      </c>
      <c r="H41" s="387" t="s">
        <v>305</v>
      </c>
      <c r="I41" s="391" t="s">
        <v>303</v>
      </c>
    </row>
    <row r="42" spans="1:9" ht="60" x14ac:dyDescent="0.25">
      <c r="A42" s="68" t="s">
        <v>95</v>
      </c>
      <c r="B42" s="8" t="s">
        <v>98</v>
      </c>
      <c r="C42" s="8"/>
      <c r="D42" s="389">
        <v>255</v>
      </c>
      <c r="E42" s="444">
        <v>48.113207547169814</v>
      </c>
      <c r="F42" s="398">
        <f t="shared" si="0"/>
        <v>9</v>
      </c>
      <c r="G42" s="395">
        <v>5</v>
      </c>
      <c r="H42" s="387" t="s">
        <v>305</v>
      </c>
      <c r="I42" s="391" t="s">
        <v>309</v>
      </c>
    </row>
    <row r="43" spans="1:9" ht="195" x14ac:dyDescent="0.25">
      <c r="A43" s="68" t="s">
        <v>97</v>
      </c>
      <c r="B43" s="8" t="s">
        <v>100</v>
      </c>
      <c r="C43" s="8"/>
      <c r="D43" s="389">
        <v>34</v>
      </c>
      <c r="E43" s="444">
        <v>6.4150943396226419</v>
      </c>
      <c r="F43" s="398">
        <f t="shared" si="0"/>
        <v>34</v>
      </c>
      <c r="G43" s="395">
        <v>17</v>
      </c>
      <c r="H43" s="387" t="s">
        <v>305</v>
      </c>
      <c r="I43" s="391" t="s">
        <v>303</v>
      </c>
    </row>
    <row r="44" spans="1:9" ht="180" x14ac:dyDescent="0.25">
      <c r="A44" s="68" t="s">
        <v>99</v>
      </c>
      <c r="B44" s="8" t="s">
        <v>102</v>
      </c>
      <c r="C44" s="8"/>
      <c r="D44" s="389">
        <v>102</v>
      </c>
      <c r="E44" s="444">
        <v>19.245283018867926</v>
      </c>
      <c r="F44" s="398">
        <f t="shared" si="0"/>
        <v>17</v>
      </c>
      <c r="G44" s="395">
        <v>16</v>
      </c>
      <c r="H44" s="387" t="s">
        <v>305</v>
      </c>
      <c r="I44" s="391" t="s">
        <v>310</v>
      </c>
    </row>
    <row r="45" spans="1:9" ht="105" x14ac:dyDescent="0.25">
      <c r="A45" s="68" t="s">
        <v>101</v>
      </c>
      <c r="B45" s="8" t="s">
        <v>104</v>
      </c>
      <c r="C45" s="8"/>
      <c r="D45" s="389">
        <v>187</v>
      </c>
      <c r="E45" s="444">
        <v>35.283018867924525</v>
      </c>
      <c r="F45" s="398">
        <f t="shared" si="0"/>
        <v>14</v>
      </c>
      <c r="G45" s="395">
        <v>9</v>
      </c>
      <c r="H45" s="387" t="s">
        <v>305</v>
      </c>
      <c r="I45" s="391" t="s">
        <v>308</v>
      </c>
    </row>
    <row r="46" spans="1:9" ht="105" x14ac:dyDescent="0.25">
      <c r="A46" s="68" t="s">
        <v>103</v>
      </c>
      <c r="B46" s="8" t="s">
        <v>106</v>
      </c>
      <c r="C46" s="8"/>
      <c r="D46" s="389">
        <v>187</v>
      </c>
      <c r="E46" s="444">
        <v>35.283018867924525</v>
      </c>
      <c r="F46" s="398">
        <f t="shared" si="0"/>
        <v>14</v>
      </c>
      <c r="G46" s="395">
        <v>9</v>
      </c>
      <c r="H46" s="387" t="s">
        <v>305</v>
      </c>
      <c r="I46" s="391" t="s">
        <v>308</v>
      </c>
    </row>
    <row r="47" spans="1:9" ht="195" x14ac:dyDescent="0.25">
      <c r="A47" s="68" t="s">
        <v>105</v>
      </c>
      <c r="B47" s="8" t="s">
        <v>108</v>
      </c>
      <c r="C47" s="8"/>
      <c r="D47" s="389">
        <v>34</v>
      </c>
      <c r="E47" s="444">
        <v>6.4150943396226419</v>
      </c>
      <c r="F47" s="398">
        <f t="shared" si="0"/>
        <v>34</v>
      </c>
      <c r="G47" s="395">
        <v>17</v>
      </c>
      <c r="H47" s="387" t="s">
        <v>305</v>
      </c>
      <c r="I47" s="391" t="s">
        <v>303</v>
      </c>
    </row>
    <row r="48" spans="1:9" ht="195" x14ac:dyDescent="0.25">
      <c r="A48" s="68" t="s">
        <v>107</v>
      </c>
      <c r="B48" s="8" t="s">
        <v>110</v>
      </c>
      <c r="C48" s="8"/>
      <c r="D48" s="389">
        <v>34</v>
      </c>
      <c r="E48" s="444">
        <v>6.4150943396226419</v>
      </c>
      <c r="F48" s="398">
        <f t="shared" si="0"/>
        <v>34</v>
      </c>
      <c r="G48" s="395">
        <v>17</v>
      </c>
      <c r="H48" s="387" t="s">
        <v>305</v>
      </c>
      <c r="I48" s="391" t="s">
        <v>303</v>
      </c>
    </row>
    <row r="49" spans="1:9" ht="180" x14ac:dyDescent="0.25">
      <c r="A49" s="68" t="s">
        <v>109</v>
      </c>
      <c r="B49" s="8" t="s">
        <v>112</v>
      </c>
      <c r="C49" s="8"/>
      <c r="D49" s="389">
        <v>102</v>
      </c>
      <c r="E49" s="444">
        <v>19.245283018867926</v>
      </c>
      <c r="F49" s="398">
        <f t="shared" si="0"/>
        <v>17</v>
      </c>
      <c r="G49" s="395">
        <v>16</v>
      </c>
      <c r="H49" s="387" t="s">
        <v>305</v>
      </c>
      <c r="I49" s="391" t="s">
        <v>310</v>
      </c>
    </row>
    <row r="50" spans="1:9" x14ac:dyDescent="0.25">
      <c r="A50" s="68" t="s">
        <v>111</v>
      </c>
      <c r="B50" s="8" t="s">
        <v>114</v>
      </c>
      <c r="C50" s="8"/>
      <c r="D50" s="389">
        <v>340</v>
      </c>
      <c r="E50" s="444">
        <v>64.15094339622641</v>
      </c>
      <c r="F50" s="398">
        <f t="shared" si="0"/>
        <v>3</v>
      </c>
      <c r="G50" s="395">
        <v>1</v>
      </c>
      <c r="H50" s="387" t="s">
        <v>305</v>
      </c>
      <c r="I50" s="391" t="s">
        <v>312</v>
      </c>
    </row>
    <row r="51" spans="1:9" ht="180" x14ac:dyDescent="0.25">
      <c r="A51" s="68" t="s">
        <v>113</v>
      </c>
      <c r="B51" s="8" t="s">
        <v>116</v>
      </c>
      <c r="C51" s="8"/>
      <c r="D51" s="389">
        <v>102</v>
      </c>
      <c r="E51" s="444">
        <v>19.245283018867926</v>
      </c>
      <c r="F51" s="398">
        <f t="shared" si="0"/>
        <v>17</v>
      </c>
      <c r="G51" s="395">
        <v>16</v>
      </c>
      <c r="H51" s="387" t="s">
        <v>305</v>
      </c>
      <c r="I51" s="391" t="s">
        <v>310</v>
      </c>
    </row>
    <row r="52" spans="1:9" ht="180" x14ac:dyDescent="0.25">
      <c r="A52" s="68" t="s">
        <v>115</v>
      </c>
      <c r="B52" s="8" t="s">
        <v>118</v>
      </c>
      <c r="C52" s="8"/>
      <c r="D52" s="389">
        <v>102</v>
      </c>
      <c r="E52" s="444">
        <v>19.245283018867926</v>
      </c>
      <c r="F52" s="398">
        <f t="shared" si="0"/>
        <v>17</v>
      </c>
      <c r="G52" s="395">
        <v>16</v>
      </c>
      <c r="H52" s="387" t="s">
        <v>305</v>
      </c>
      <c r="I52" s="391" t="s">
        <v>310</v>
      </c>
    </row>
    <row r="53" spans="1:9" ht="60" x14ac:dyDescent="0.25">
      <c r="A53" s="68" t="s">
        <v>117</v>
      </c>
      <c r="B53" s="8" t="s">
        <v>120</v>
      </c>
      <c r="C53" s="8"/>
      <c r="D53" s="389">
        <v>255</v>
      </c>
      <c r="E53" s="444">
        <v>48.113207547169814</v>
      </c>
      <c r="F53" s="398">
        <f t="shared" si="0"/>
        <v>9</v>
      </c>
      <c r="G53" s="395">
        <v>5</v>
      </c>
      <c r="H53" s="387" t="s">
        <v>305</v>
      </c>
      <c r="I53" s="391" t="s">
        <v>309</v>
      </c>
    </row>
    <row r="54" spans="1:9" ht="180" x14ac:dyDescent="0.25">
      <c r="A54" s="68" t="s">
        <v>119</v>
      </c>
      <c r="B54" s="8" t="s">
        <v>122</v>
      </c>
      <c r="C54" s="8"/>
      <c r="D54" s="389">
        <v>102</v>
      </c>
      <c r="E54" s="444">
        <v>19.245283018867926</v>
      </c>
      <c r="F54" s="398">
        <f t="shared" si="0"/>
        <v>17</v>
      </c>
      <c r="G54" s="395">
        <v>16</v>
      </c>
      <c r="H54" s="387" t="s">
        <v>305</v>
      </c>
      <c r="I54" s="391" t="s">
        <v>310</v>
      </c>
    </row>
    <row r="55" spans="1:9" ht="180" x14ac:dyDescent="0.25">
      <c r="A55" s="68" t="s">
        <v>121</v>
      </c>
      <c r="B55" s="8" t="s">
        <v>124</v>
      </c>
      <c r="C55" s="8"/>
      <c r="D55" s="389">
        <v>102</v>
      </c>
      <c r="E55" s="444">
        <v>19.245283018867926</v>
      </c>
      <c r="F55" s="398">
        <f t="shared" si="0"/>
        <v>17</v>
      </c>
      <c r="G55" s="395">
        <v>16</v>
      </c>
      <c r="H55" s="387" t="s">
        <v>305</v>
      </c>
      <c r="I55" s="391" t="s">
        <v>310</v>
      </c>
    </row>
    <row r="56" spans="1:9" ht="180" x14ac:dyDescent="0.25">
      <c r="A56" s="68" t="s">
        <v>123</v>
      </c>
      <c r="B56" s="8" t="s">
        <v>126</v>
      </c>
      <c r="C56" s="8"/>
      <c r="D56" s="389">
        <v>102</v>
      </c>
      <c r="E56" s="444">
        <v>19.245283018867926</v>
      </c>
      <c r="F56" s="398">
        <f t="shared" si="0"/>
        <v>17</v>
      </c>
      <c r="G56" s="395">
        <v>16</v>
      </c>
      <c r="H56" s="387" t="s">
        <v>305</v>
      </c>
      <c r="I56" s="391" t="s">
        <v>310</v>
      </c>
    </row>
    <row r="57" spans="1:9" ht="105" x14ac:dyDescent="0.25">
      <c r="A57" s="68" t="s">
        <v>125</v>
      </c>
      <c r="B57" s="8" t="s">
        <v>128</v>
      </c>
      <c r="C57" s="8"/>
      <c r="D57" s="389">
        <v>204</v>
      </c>
      <c r="E57" s="444">
        <v>38.490566037735853</v>
      </c>
      <c r="F57" s="398">
        <f t="shared" si="0"/>
        <v>12</v>
      </c>
      <c r="G57" s="395">
        <v>9</v>
      </c>
      <c r="H57" s="387" t="s">
        <v>305</v>
      </c>
      <c r="I57" s="391" t="s">
        <v>308</v>
      </c>
    </row>
    <row r="58" spans="1:9" ht="195" x14ac:dyDescent="0.25">
      <c r="A58" s="68" t="s">
        <v>127</v>
      </c>
      <c r="B58" s="8" t="s">
        <v>130</v>
      </c>
      <c r="C58" s="8"/>
      <c r="D58" s="389">
        <v>51</v>
      </c>
      <c r="E58" s="444">
        <v>9.6226415094339632</v>
      </c>
      <c r="F58" s="398">
        <f t="shared" si="0"/>
        <v>31</v>
      </c>
      <c r="G58" s="395">
        <v>17</v>
      </c>
      <c r="H58" s="387" t="s">
        <v>305</v>
      </c>
      <c r="I58" s="391" t="s">
        <v>303</v>
      </c>
    </row>
    <row r="59" spans="1:9" ht="60" x14ac:dyDescent="0.25">
      <c r="A59" s="68" t="s">
        <v>129</v>
      </c>
      <c r="B59" s="8" t="s">
        <v>132</v>
      </c>
      <c r="C59" s="8"/>
      <c r="D59" s="389">
        <v>323</v>
      </c>
      <c r="E59" s="444">
        <v>60.943396226415089</v>
      </c>
      <c r="F59" s="398">
        <f t="shared" si="0"/>
        <v>4</v>
      </c>
      <c r="G59" s="395">
        <v>5</v>
      </c>
      <c r="H59" s="387" t="s">
        <v>305</v>
      </c>
      <c r="I59" s="391" t="s">
        <v>309</v>
      </c>
    </row>
    <row r="60" spans="1:9" ht="195" x14ac:dyDescent="0.25">
      <c r="A60" s="68" t="s">
        <v>131</v>
      </c>
      <c r="B60" s="8" t="s">
        <v>134</v>
      </c>
      <c r="C60" s="8"/>
      <c r="D60" s="389">
        <v>34</v>
      </c>
      <c r="E60" s="444">
        <v>6.4150943396226419</v>
      </c>
      <c r="F60" s="398">
        <f t="shared" si="0"/>
        <v>34</v>
      </c>
      <c r="G60" s="395">
        <v>17</v>
      </c>
      <c r="H60" s="387" t="s">
        <v>305</v>
      </c>
      <c r="I60" s="391" t="s">
        <v>303</v>
      </c>
    </row>
    <row r="61" spans="1:9" ht="195" x14ac:dyDescent="0.25">
      <c r="A61" s="68" t="s">
        <v>133</v>
      </c>
      <c r="B61" s="8" t="s">
        <v>136</v>
      </c>
      <c r="C61" s="8"/>
      <c r="D61" s="389">
        <v>34</v>
      </c>
      <c r="E61" s="444">
        <v>6.4150943396226419</v>
      </c>
      <c r="F61" s="398">
        <f t="shared" si="0"/>
        <v>34</v>
      </c>
      <c r="G61" s="395">
        <v>17</v>
      </c>
      <c r="H61" s="387" t="s">
        <v>305</v>
      </c>
      <c r="I61" s="391" t="s">
        <v>303</v>
      </c>
    </row>
    <row r="62" spans="1:9" ht="195" x14ac:dyDescent="0.25">
      <c r="A62" s="68" t="s">
        <v>135</v>
      </c>
      <c r="B62" s="8" t="s">
        <v>138</v>
      </c>
      <c r="C62" s="8"/>
      <c r="D62" s="389">
        <v>51</v>
      </c>
      <c r="E62" s="444">
        <v>9.6226415094339632</v>
      </c>
      <c r="F62" s="398">
        <f t="shared" si="0"/>
        <v>31</v>
      </c>
      <c r="G62" s="395">
        <v>17</v>
      </c>
      <c r="H62" s="387" t="s">
        <v>305</v>
      </c>
      <c r="I62" s="391" t="s">
        <v>303</v>
      </c>
    </row>
    <row r="63" spans="1:9" ht="180" x14ac:dyDescent="0.25">
      <c r="A63" s="68" t="s">
        <v>137</v>
      </c>
      <c r="B63" s="8" t="s">
        <v>139</v>
      </c>
      <c r="C63" s="8"/>
      <c r="D63" s="389">
        <v>102</v>
      </c>
      <c r="E63" s="444">
        <v>19.245283018867926</v>
      </c>
      <c r="F63" s="398">
        <f t="shared" si="0"/>
        <v>17</v>
      </c>
      <c r="G63" s="395">
        <v>16</v>
      </c>
      <c r="H63" s="387" t="s">
        <v>305</v>
      </c>
      <c r="I63" s="391" t="s">
        <v>310</v>
      </c>
    </row>
    <row r="64" spans="1:9" ht="60" x14ac:dyDescent="0.25">
      <c r="A64" s="68" t="s">
        <v>147</v>
      </c>
      <c r="B64" s="8" t="s">
        <v>148</v>
      </c>
      <c r="C64" s="8" t="s">
        <v>149</v>
      </c>
      <c r="D64" s="389">
        <v>289</v>
      </c>
      <c r="E64" s="444">
        <v>54.528301886792448</v>
      </c>
      <c r="F64" s="398">
        <f t="shared" si="0"/>
        <v>8</v>
      </c>
      <c r="G64" s="395">
        <v>5</v>
      </c>
      <c r="H64" s="387" t="s">
        <v>305</v>
      </c>
      <c r="I64" s="391" t="s">
        <v>309</v>
      </c>
    </row>
    <row r="65" spans="1:9" ht="180" x14ac:dyDescent="0.25">
      <c r="A65" s="68" t="s">
        <v>253</v>
      </c>
      <c r="B65" s="8" t="s">
        <v>254</v>
      </c>
      <c r="C65" s="8" t="s">
        <v>255</v>
      </c>
      <c r="D65" s="389">
        <v>102</v>
      </c>
      <c r="E65" s="444">
        <v>19.245283018867926</v>
      </c>
      <c r="F65" s="398">
        <f t="shared" si="0"/>
        <v>17</v>
      </c>
      <c r="G65" s="395">
        <v>16</v>
      </c>
      <c r="H65" s="387" t="s">
        <v>305</v>
      </c>
      <c r="I65" s="391" t="s">
        <v>310</v>
      </c>
    </row>
    <row r="66" spans="1:9" x14ac:dyDescent="0.25">
      <c r="A66" s="68"/>
      <c r="B66" s="8"/>
      <c r="C66" s="8"/>
      <c r="D66" s="389"/>
      <c r="E66" s="444"/>
      <c r="F66" s="398" t="str">
        <f t="shared" si="0"/>
        <v/>
      </c>
      <c r="G66" s="395"/>
      <c r="H66" s="387" t="str">
        <f t="shared" ref="H66:H82" si="1">IF(AND(W66&gt;60,E67&lt;&gt;0),"TB",IF(E67&lt;&gt;0,"B",""))</f>
        <v/>
      </c>
      <c r="I66" s="391"/>
    </row>
    <row r="67" spans="1:9" x14ac:dyDescent="0.25">
      <c r="A67" s="68"/>
      <c r="B67" s="8"/>
      <c r="C67" s="8"/>
      <c r="D67" s="389"/>
      <c r="E67" s="444"/>
      <c r="F67" s="398" t="str">
        <f t="shared" si="0"/>
        <v/>
      </c>
      <c r="G67" s="395"/>
      <c r="H67" s="387" t="str">
        <f t="shared" si="1"/>
        <v/>
      </c>
      <c r="I67" s="391"/>
    </row>
    <row r="68" spans="1:9" x14ac:dyDescent="0.25">
      <c r="A68" s="68"/>
      <c r="B68" s="8"/>
      <c r="C68" s="8"/>
      <c r="D68" s="389"/>
      <c r="E68" s="444"/>
      <c r="F68" s="398" t="str">
        <f t="shared" si="0"/>
        <v/>
      </c>
      <c r="G68" s="395"/>
      <c r="H68" s="387" t="str">
        <f t="shared" si="1"/>
        <v/>
      </c>
      <c r="I68" s="391"/>
    </row>
    <row r="69" spans="1:9" x14ac:dyDescent="0.25">
      <c r="A69" s="68"/>
      <c r="B69" s="8"/>
      <c r="C69" s="8"/>
      <c r="D69" s="389"/>
      <c r="E69" s="444"/>
      <c r="F69" s="398" t="str">
        <f t="shared" si="0"/>
        <v/>
      </c>
      <c r="G69" s="395"/>
      <c r="H69" s="387" t="str">
        <f t="shared" si="1"/>
        <v/>
      </c>
      <c r="I69" s="391"/>
    </row>
    <row r="70" spans="1:9" x14ac:dyDescent="0.25">
      <c r="A70" s="68"/>
      <c r="B70" s="8"/>
      <c r="C70" s="8"/>
      <c r="D70" s="389"/>
      <c r="E70" s="444"/>
      <c r="F70" s="398" t="str">
        <f t="shared" si="0"/>
        <v/>
      </c>
      <c r="G70" s="395"/>
      <c r="H70" s="387" t="str">
        <f t="shared" si="1"/>
        <v/>
      </c>
      <c r="I70" s="391"/>
    </row>
    <row r="71" spans="1:9" x14ac:dyDescent="0.25">
      <c r="A71" s="68"/>
      <c r="B71" s="8"/>
      <c r="C71" s="8"/>
      <c r="D71" s="389"/>
      <c r="E71" s="444"/>
      <c r="F71" s="398" t="str">
        <f t="shared" si="0"/>
        <v/>
      </c>
      <c r="G71" s="395"/>
      <c r="H71" s="387" t="str">
        <f t="shared" si="1"/>
        <v/>
      </c>
      <c r="I71" s="391"/>
    </row>
    <row r="72" spans="1:9" x14ac:dyDescent="0.25">
      <c r="A72" s="68"/>
      <c r="B72" s="8"/>
      <c r="C72" s="8"/>
      <c r="D72" s="389"/>
      <c r="E72" s="444"/>
      <c r="F72" s="398" t="str">
        <f t="shared" si="0"/>
        <v/>
      </c>
      <c r="G72" s="395"/>
      <c r="H72" s="387" t="str">
        <f t="shared" si="1"/>
        <v/>
      </c>
      <c r="I72" s="391"/>
    </row>
    <row r="73" spans="1:9" x14ac:dyDescent="0.25">
      <c r="A73" s="68"/>
      <c r="B73" s="8"/>
      <c r="C73" s="8"/>
      <c r="D73" s="389"/>
      <c r="E73" s="444"/>
      <c r="F73" s="398" t="str">
        <f t="shared" si="0"/>
        <v/>
      </c>
      <c r="G73" s="395"/>
      <c r="H73" s="387" t="str">
        <f t="shared" si="1"/>
        <v/>
      </c>
      <c r="I73" s="391"/>
    </row>
    <row r="74" spans="1:9" x14ac:dyDescent="0.25">
      <c r="A74" s="68"/>
      <c r="B74" s="8"/>
      <c r="C74" s="8"/>
      <c r="D74" s="389"/>
      <c r="E74" s="444"/>
      <c r="F74" s="398" t="str">
        <f t="shared" si="0"/>
        <v/>
      </c>
      <c r="G74" s="395"/>
      <c r="H74" s="387" t="str">
        <f t="shared" si="1"/>
        <v/>
      </c>
      <c r="I74" s="391"/>
    </row>
    <row r="75" spans="1:9" x14ac:dyDescent="0.25">
      <c r="A75" s="68"/>
      <c r="B75" s="8"/>
      <c r="C75" s="8"/>
      <c r="D75" s="389"/>
      <c r="E75" s="444"/>
      <c r="F75" s="398" t="str">
        <f t="shared" si="0"/>
        <v/>
      </c>
      <c r="G75" s="395"/>
      <c r="H75" s="387" t="str">
        <f t="shared" si="1"/>
        <v/>
      </c>
      <c r="I75" s="391"/>
    </row>
    <row r="76" spans="1:9" x14ac:dyDescent="0.25">
      <c r="A76" s="68"/>
      <c r="B76" s="8"/>
      <c r="C76" s="8"/>
      <c r="D76" s="389"/>
      <c r="E76" s="444"/>
      <c r="F76" s="398" t="str">
        <f t="shared" si="0"/>
        <v/>
      </c>
      <c r="G76" s="395"/>
      <c r="H76" s="387" t="str">
        <f t="shared" si="1"/>
        <v/>
      </c>
      <c r="I76" s="391"/>
    </row>
    <row r="77" spans="1:9" x14ac:dyDescent="0.25">
      <c r="A77" s="68"/>
      <c r="B77" s="8"/>
      <c r="C77" s="8"/>
      <c r="D77" s="389"/>
      <c r="E77" s="444"/>
      <c r="F77" s="398" t="str">
        <f t="shared" si="0"/>
        <v/>
      </c>
      <c r="G77" s="395"/>
      <c r="H77" s="387" t="str">
        <f t="shared" si="1"/>
        <v/>
      </c>
      <c r="I77" s="391"/>
    </row>
    <row r="78" spans="1:9" x14ac:dyDescent="0.25">
      <c r="A78" s="68"/>
      <c r="B78" s="8"/>
      <c r="C78" s="8"/>
      <c r="D78" s="389"/>
      <c r="E78" s="444"/>
      <c r="F78" s="398" t="str">
        <f t="shared" si="0"/>
        <v/>
      </c>
      <c r="G78" s="395"/>
      <c r="H78" s="387" t="str">
        <f t="shared" si="1"/>
        <v/>
      </c>
      <c r="I78" s="391"/>
    </row>
    <row r="79" spans="1:9" x14ac:dyDescent="0.25">
      <c r="A79" s="68"/>
      <c r="B79" s="8"/>
      <c r="C79" s="8"/>
      <c r="D79" s="389"/>
      <c r="E79" s="444"/>
      <c r="F79" s="398" t="str">
        <f t="shared" si="0"/>
        <v/>
      </c>
      <c r="G79" s="395"/>
      <c r="H79" s="387" t="str">
        <f t="shared" si="1"/>
        <v/>
      </c>
      <c r="I79" s="391"/>
    </row>
    <row r="80" spans="1:9" x14ac:dyDescent="0.25">
      <c r="A80" s="68"/>
      <c r="B80" s="8"/>
      <c r="C80" s="8"/>
      <c r="D80" s="389"/>
      <c r="E80" s="444"/>
      <c r="F80" s="398" t="str">
        <f t="shared" si="0"/>
        <v/>
      </c>
      <c r="G80" s="395"/>
      <c r="H80" s="387" t="str">
        <f t="shared" si="1"/>
        <v/>
      </c>
      <c r="I80" s="391"/>
    </row>
    <row r="81" spans="1:9" x14ac:dyDescent="0.25">
      <c r="A81" s="68"/>
      <c r="B81" s="8"/>
      <c r="C81" s="8"/>
      <c r="D81" s="389"/>
      <c r="E81" s="444"/>
      <c r="F81" s="398" t="str">
        <f t="shared" si="0"/>
        <v/>
      </c>
      <c r="G81" s="395"/>
      <c r="H81" s="387" t="str">
        <f t="shared" si="1"/>
        <v/>
      </c>
      <c r="I81" s="391"/>
    </row>
    <row r="82" spans="1:9" x14ac:dyDescent="0.25">
      <c r="A82" s="68"/>
      <c r="B82" s="8"/>
      <c r="C82" s="8"/>
      <c r="D82" s="389"/>
      <c r="E82" s="444"/>
      <c r="F82" s="398" t="str">
        <f t="shared" ref="F82:F122" si="2">IFERROR(IF(D82:D82&lt;&gt;"",RANK(E82,E$17:E$122,0),""),"")</f>
        <v/>
      </c>
      <c r="G82" s="395"/>
      <c r="H82" s="387" t="str">
        <f t="shared" si="1"/>
        <v/>
      </c>
      <c r="I82" s="391"/>
    </row>
    <row r="83" spans="1:9" x14ac:dyDescent="0.25">
      <c r="A83" s="68"/>
      <c r="B83" s="8"/>
      <c r="C83" s="8"/>
      <c r="D83" s="389"/>
      <c r="E83" s="444"/>
      <c r="F83" s="398" t="str">
        <f t="shared" si="2"/>
        <v/>
      </c>
      <c r="G83" s="395"/>
      <c r="H83" s="387" t="str">
        <f t="shared" ref="H83:H122" si="3">IF(AND(W83&gt;60,E84&lt;&gt;0),"TB",IF(E84&lt;&gt;0,"B",""))</f>
        <v/>
      </c>
      <c r="I83" s="391"/>
    </row>
    <row r="84" spans="1:9" x14ac:dyDescent="0.25">
      <c r="A84" s="68"/>
      <c r="B84" s="8"/>
      <c r="C84" s="8"/>
      <c r="D84" s="389"/>
      <c r="E84" s="444"/>
      <c r="F84" s="398" t="str">
        <f t="shared" si="2"/>
        <v/>
      </c>
      <c r="G84" s="395"/>
      <c r="H84" s="387" t="str">
        <f t="shared" si="3"/>
        <v/>
      </c>
      <c r="I84" s="391"/>
    </row>
    <row r="85" spans="1:9" x14ac:dyDescent="0.25">
      <c r="A85" s="68"/>
      <c r="B85" s="8"/>
      <c r="C85" s="8"/>
      <c r="D85" s="389"/>
      <c r="E85" s="444"/>
      <c r="F85" s="398" t="str">
        <f t="shared" si="2"/>
        <v/>
      </c>
      <c r="G85" s="395"/>
      <c r="H85" s="387" t="str">
        <f t="shared" si="3"/>
        <v/>
      </c>
      <c r="I85" s="391"/>
    </row>
    <row r="86" spans="1:9" x14ac:dyDescent="0.25">
      <c r="A86" s="68"/>
      <c r="B86" s="8"/>
      <c r="C86" s="8"/>
      <c r="D86" s="389"/>
      <c r="E86" s="444"/>
      <c r="F86" s="398" t="str">
        <f t="shared" si="2"/>
        <v/>
      </c>
      <c r="G86" s="395"/>
      <c r="H86" s="387" t="str">
        <f t="shared" si="3"/>
        <v/>
      </c>
      <c r="I86" s="391"/>
    </row>
    <row r="87" spans="1:9" x14ac:dyDescent="0.25">
      <c r="A87" s="68"/>
      <c r="B87" s="8"/>
      <c r="C87" s="8"/>
      <c r="D87" s="389"/>
      <c r="E87" s="444"/>
      <c r="F87" s="398" t="str">
        <f t="shared" si="2"/>
        <v/>
      </c>
      <c r="G87" s="395"/>
      <c r="H87" s="387" t="str">
        <f t="shared" si="3"/>
        <v/>
      </c>
      <c r="I87" s="391"/>
    </row>
    <row r="88" spans="1:9" x14ac:dyDescent="0.25">
      <c r="A88" s="68"/>
      <c r="B88" s="8"/>
      <c r="C88" s="8"/>
      <c r="D88" s="389"/>
      <c r="E88" s="444"/>
      <c r="F88" s="398" t="str">
        <f t="shared" si="2"/>
        <v/>
      </c>
      <c r="G88" s="395"/>
      <c r="H88" s="387" t="str">
        <f t="shared" si="3"/>
        <v/>
      </c>
      <c r="I88" s="391"/>
    </row>
    <row r="89" spans="1:9" x14ac:dyDescent="0.25">
      <c r="A89" s="68"/>
      <c r="B89" s="8"/>
      <c r="C89" s="8"/>
      <c r="D89" s="389"/>
      <c r="E89" s="444"/>
      <c r="F89" s="398" t="str">
        <f t="shared" si="2"/>
        <v/>
      </c>
      <c r="G89" s="395"/>
      <c r="H89" s="387" t="str">
        <f t="shared" si="3"/>
        <v/>
      </c>
      <c r="I89" s="391"/>
    </row>
    <row r="90" spans="1:9" x14ac:dyDescent="0.25">
      <c r="A90" s="68"/>
      <c r="B90" s="8"/>
      <c r="C90" s="8"/>
      <c r="D90" s="389"/>
      <c r="E90" s="444"/>
      <c r="F90" s="398" t="str">
        <f t="shared" si="2"/>
        <v/>
      </c>
      <c r="G90" s="395"/>
      <c r="H90" s="387" t="str">
        <f t="shared" si="3"/>
        <v/>
      </c>
      <c r="I90" s="391"/>
    </row>
    <row r="91" spans="1:9" x14ac:dyDescent="0.25">
      <c r="A91" s="68"/>
      <c r="B91" s="8"/>
      <c r="C91" s="8"/>
      <c r="D91" s="389"/>
      <c r="E91" s="444"/>
      <c r="F91" s="398" t="str">
        <f t="shared" si="2"/>
        <v/>
      </c>
      <c r="G91" s="395"/>
      <c r="H91" s="387" t="str">
        <f t="shared" si="3"/>
        <v/>
      </c>
      <c r="I91" s="391"/>
    </row>
    <row r="92" spans="1:9" x14ac:dyDescent="0.25">
      <c r="A92" s="68"/>
      <c r="B92" s="8"/>
      <c r="C92" s="8"/>
      <c r="D92" s="389"/>
      <c r="E92" s="444"/>
      <c r="F92" s="398" t="str">
        <f t="shared" si="2"/>
        <v/>
      </c>
      <c r="G92" s="395"/>
      <c r="H92" s="387" t="str">
        <f t="shared" si="3"/>
        <v/>
      </c>
      <c r="I92" s="391"/>
    </row>
    <row r="93" spans="1:9" x14ac:dyDescent="0.25">
      <c r="A93" s="68"/>
      <c r="B93" s="8"/>
      <c r="C93" s="8"/>
      <c r="D93" s="389"/>
      <c r="E93" s="444"/>
      <c r="F93" s="398" t="str">
        <f t="shared" si="2"/>
        <v/>
      </c>
      <c r="G93" s="395"/>
      <c r="H93" s="387" t="str">
        <f t="shared" si="3"/>
        <v/>
      </c>
      <c r="I93" s="391"/>
    </row>
    <row r="94" spans="1:9" x14ac:dyDescent="0.25">
      <c r="A94" s="68"/>
      <c r="B94" s="8"/>
      <c r="C94" s="8"/>
      <c r="D94" s="389"/>
      <c r="E94" s="444"/>
      <c r="F94" s="398" t="str">
        <f t="shared" si="2"/>
        <v/>
      </c>
      <c r="G94" s="395"/>
      <c r="H94" s="387" t="str">
        <f t="shared" si="3"/>
        <v/>
      </c>
      <c r="I94" s="391"/>
    </row>
    <row r="95" spans="1:9" x14ac:dyDescent="0.25">
      <c r="A95" s="68"/>
      <c r="B95" s="8"/>
      <c r="C95" s="8"/>
      <c r="D95" s="389"/>
      <c r="E95" s="444"/>
      <c r="F95" s="398" t="str">
        <f t="shared" si="2"/>
        <v/>
      </c>
      <c r="G95" s="395"/>
      <c r="H95" s="387" t="str">
        <f t="shared" si="3"/>
        <v/>
      </c>
      <c r="I95" s="391"/>
    </row>
    <row r="96" spans="1:9" x14ac:dyDescent="0.25">
      <c r="A96" s="68"/>
      <c r="B96" s="8"/>
      <c r="C96" s="8"/>
      <c r="D96" s="389"/>
      <c r="E96" s="444"/>
      <c r="F96" s="398" t="str">
        <f t="shared" si="2"/>
        <v/>
      </c>
      <c r="G96" s="395"/>
      <c r="H96" s="387" t="str">
        <f t="shared" si="3"/>
        <v/>
      </c>
      <c r="I96" s="391"/>
    </row>
    <row r="97" spans="1:9" x14ac:dyDescent="0.25">
      <c r="A97" s="68"/>
      <c r="B97" s="8"/>
      <c r="C97" s="8"/>
      <c r="D97" s="389"/>
      <c r="E97" s="444"/>
      <c r="F97" s="398" t="str">
        <f t="shared" si="2"/>
        <v/>
      </c>
      <c r="G97" s="395"/>
      <c r="H97" s="387" t="str">
        <f t="shared" si="3"/>
        <v/>
      </c>
      <c r="I97" s="391"/>
    </row>
    <row r="98" spans="1:9" x14ac:dyDescent="0.25">
      <c r="A98" s="68"/>
      <c r="B98" s="8"/>
      <c r="C98" s="8"/>
      <c r="D98" s="389"/>
      <c r="E98" s="444"/>
      <c r="F98" s="398" t="str">
        <f t="shared" si="2"/>
        <v/>
      </c>
      <c r="G98" s="395"/>
      <c r="H98" s="387" t="str">
        <f t="shared" si="3"/>
        <v/>
      </c>
      <c r="I98" s="391"/>
    </row>
    <row r="99" spans="1:9" x14ac:dyDescent="0.25">
      <c r="A99" s="68"/>
      <c r="B99" s="8"/>
      <c r="C99" s="8"/>
      <c r="D99" s="389"/>
      <c r="E99" s="444"/>
      <c r="F99" s="398" t="str">
        <f t="shared" si="2"/>
        <v/>
      </c>
      <c r="G99" s="395"/>
      <c r="H99" s="387" t="str">
        <f t="shared" si="3"/>
        <v/>
      </c>
      <c r="I99" s="391"/>
    </row>
    <row r="100" spans="1:9" x14ac:dyDescent="0.25">
      <c r="A100" s="68"/>
      <c r="B100" s="8"/>
      <c r="C100" s="8"/>
      <c r="D100" s="389"/>
      <c r="E100" s="444"/>
      <c r="F100" s="398" t="str">
        <f t="shared" si="2"/>
        <v/>
      </c>
      <c r="G100" s="395"/>
      <c r="H100" s="387" t="str">
        <f t="shared" si="3"/>
        <v/>
      </c>
      <c r="I100" s="391"/>
    </row>
    <row r="101" spans="1:9" x14ac:dyDescent="0.25">
      <c r="A101" s="68"/>
      <c r="B101" s="8"/>
      <c r="C101" s="8"/>
      <c r="D101" s="389"/>
      <c r="E101" s="444"/>
      <c r="F101" s="398" t="str">
        <f t="shared" si="2"/>
        <v/>
      </c>
      <c r="G101" s="395"/>
      <c r="H101" s="387" t="str">
        <f t="shared" si="3"/>
        <v/>
      </c>
      <c r="I101" s="391"/>
    </row>
    <row r="102" spans="1:9" x14ac:dyDescent="0.25">
      <c r="A102" s="68"/>
      <c r="B102" s="8"/>
      <c r="C102" s="8"/>
      <c r="D102" s="389"/>
      <c r="E102" s="444"/>
      <c r="F102" s="398" t="str">
        <f t="shared" si="2"/>
        <v/>
      </c>
      <c r="G102" s="395"/>
      <c r="H102" s="387" t="str">
        <f t="shared" si="3"/>
        <v/>
      </c>
      <c r="I102" s="391"/>
    </row>
    <row r="103" spans="1:9" x14ac:dyDescent="0.25">
      <c r="A103" s="68"/>
      <c r="B103" s="8"/>
      <c r="C103" s="8"/>
      <c r="D103" s="389"/>
      <c r="E103" s="444"/>
      <c r="F103" s="398" t="str">
        <f t="shared" si="2"/>
        <v/>
      </c>
      <c r="G103" s="395"/>
      <c r="H103" s="387" t="str">
        <f t="shared" si="3"/>
        <v/>
      </c>
      <c r="I103" s="391"/>
    </row>
    <row r="104" spans="1:9" x14ac:dyDescent="0.25">
      <c r="A104" s="68"/>
      <c r="B104" s="8"/>
      <c r="C104" s="8"/>
      <c r="D104" s="389"/>
      <c r="E104" s="444"/>
      <c r="F104" s="398" t="str">
        <f t="shared" si="2"/>
        <v/>
      </c>
      <c r="G104" s="395"/>
      <c r="H104" s="387" t="str">
        <f t="shared" si="3"/>
        <v/>
      </c>
      <c r="I104" s="391"/>
    </row>
    <row r="105" spans="1:9" x14ac:dyDescent="0.25">
      <c r="A105" s="68"/>
      <c r="B105" s="8"/>
      <c r="C105" s="8"/>
      <c r="D105" s="389"/>
      <c r="E105" s="444"/>
      <c r="F105" s="398" t="str">
        <f t="shared" si="2"/>
        <v/>
      </c>
      <c r="G105" s="395"/>
      <c r="H105" s="387" t="str">
        <f t="shared" si="3"/>
        <v/>
      </c>
      <c r="I105" s="391"/>
    </row>
    <row r="106" spans="1:9" x14ac:dyDescent="0.25">
      <c r="A106" s="68"/>
      <c r="B106" s="8"/>
      <c r="C106" s="8"/>
      <c r="D106" s="389"/>
      <c r="E106" s="444"/>
      <c r="F106" s="398" t="str">
        <f t="shared" si="2"/>
        <v/>
      </c>
      <c r="G106" s="395"/>
      <c r="H106" s="387" t="str">
        <f t="shared" si="3"/>
        <v/>
      </c>
      <c r="I106" s="391"/>
    </row>
    <row r="107" spans="1:9" x14ac:dyDescent="0.25">
      <c r="A107" s="68"/>
      <c r="B107" s="8"/>
      <c r="C107" s="8"/>
      <c r="D107" s="389"/>
      <c r="E107" s="444"/>
      <c r="F107" s="398" t="str">
        <f t="shared" si="2"/>
        <v/>
      </c>
      <c r="G107" s="395"/>
      <c r="H107" s="387" t="str">
        <f t="shared" si="3"/>
        <v/>
      </c>
      <c r="I107" s="391"/>
    </row>
    <row r="108" spans="1:9" x14ac:dyDescent="0.25">
      <c r="A108" s="68"/>
      <c r="B108" s="8"/>
      <c r="C108" s="8"/>
      <c r="D108" s="389"/>
      <c r="E108" s="444"/>
      <c r="F108" s="398" t="str">
        <f t="shared" si="2"/>
        <v/>
      </c>
      <c r="G108" s="395"/>
      <c r="H108" s="387" t="str">
        <f t="shared" si="3"/>
        <v/>
      </c>
      <c r="I108" s="391"/>
    </row>
    <row r="109" spans="1:9" x14ac:dyDescent="0.25">
      <c r="A109" s="68"/>
      <c r="B109" s="8"/>
      <c r="C109" s="8"/>
      <c r="D109" s="389"/>
      <c r="E109" s="444"/>
      <c r="F109" s="398" t="str">
        <f t="shared" si="2"/>
        <v/>
      </c>
      <c r="G109" s="395"/>
      <c r="H109" s="387" t="str">
        <f t="shared" si="3"/>
        <v/>
      </c>
      <c r="I109" s="391"/>
    </row>
    <row r="110" spans="1:9" x14ac:dyDescent="0.25">
      <c r="A110" s="68"/>
      <c r="B110" s="8"/>
      <c r="C110" s="8"/>
      <c r="D110" s="389"/>
      <c r="E110" s="444"/>
      <c r="F110" s="398" t="str">
        <f t="shared" si="2"/>
        <v/>
      </c>
      <c r="G110" s="395"/>
      <c r="H110" s="387" t="str">
        <f t="shared" si="3"/>
        <v/>
      </c>
      <c r="I110" s="391"/>
    </row>
    <row r="111" spans="1:9" x14ac:dyDescent="0.25">
      <c r="A111" s="68"/>
      <c r="B111" s="8"/>
      <c r="C111" s="8"/>
      <c r="D111" s="389"/>
      <c r="E111" s="444"/>
      <c r="F111" s="398" t="str">
        <f t="shared" si="2"/>
        <v/>
      </c>
      <c r="G111" s="395"/>
      <c r="H111" s="387" t="str">
        <f t="shared" si="3"/>
        <v/>
      </c>
      <c r="I111" s="391"/>
    </row>
    <row r="112" spans="1:9" x14ac:dyDescent="0.25">
      <c r="A112" s="68"/>
      <c r="B112" s="8"/>
      <c r="C112" s="8"/>
      <c r="D112" s="389"/>
      <c r="E112" s="444"/>
      <c r="F112" s="398" t="str">
        <f t="shared" si="2"/>
        <v/>
      </c>
      <c r="G112" s="395"/>
      <c r="H112" s="387" t="str">
        <f t="shared" si="3"/>
        <v/>
      </c>
      <c r="I112" s="391"/>
    </row>
    <row r="113" spans="1:9" x14ac:dyDescent="0.25">
      <c r="A113" s="68"/>
      <c r="B113" s="8"/>
      <c r="C113" s="8"/>
      <c r="D113" s="389"/>
      <c r="E113" s="444"/>
      <c r="F113" s="398" t="str">
        <f t="shared" si="2"/>
        <v/>
      </c>
      <c r="G113" s="395"/>
      <c r="H113" s="387" t="str">
        <f t="shared" si="3"/>
        <v/>
      </c>
      <c r="I113" s="391"/>
    </row>
    <row r="114" spans="1:9" x14ac:dyDescent="0.25">
      <c r="A114" s="68"/>
      <c r="B114" s="8"/>
      <c r="C114" s="8"/>
      <c r="D114" s="389"/>
      <c r="E114" s="444"/>
      <c r="F114" s="398" t="str">
        <f t="shared" si="2"/>
        <v/>
      </c>
      <c r="G114" s="395"/>
      <c r="H114" s="387" t="str">
        <f t="shared" si="3"/>
        <v/>
      </c>
      <c r="I114" s="391"/>
    </row>
    <row r="115" spans="1:9" x14ac:dyDescent="0.25">
      <c r="A115" s="68"/>
      <c r="B115" s="8"/>
      <c r="C115" s="8"/>
      <c r="D115" s="389"/>
      <c r="E115" s="444"/>
      <c r="F115" s="398" t="str">
        <f t="shared" si="2"/>
        <v/>
      </c>
      <c r="G115" s="395"/>
      <c r="H115" s="387" t="str">
        <f t="shared" si="3"/>
        <v/>
      </c>
      <c r="I115" s="391"/>
    </row>
    <row r="116" spans="1:9" x14ac:dyDescent="0.25">
      <c r="A116" s="68"/>
      <c r="B116" s="8"/>
      <c r="C116" s="8"/>
      <c r="D116" s="389"/>
      <c r="E116" s="444"/>
      <c r="F116" s="398" t="str">
        <f t="shared" si="2"/>
        <v/>
      </c>
      <c r="G116" s="395"/>
      <c r="H116" s="387" t="str">
        <f t="shared" si="3"/>
        <v/>
      </c>
      <c r="I116" s="391"/>
    </row>
    <row r="117" spans="1:9" x14ac:dyDescent="0.25">
      <c r="A117" s="68"/>
      <c r="B117" s="8"/>
      <c r="C117" s="8"/>
      <c r="D117" s="389"/>
      <c r="E117" s="444"/>
      <c r="F117" s="398" t="str">
        <f t="shared" si="2"/>
        <v/>
      </c>
      <c r="G117" s="395"/>
      <c r="H117" s="387" t="str">
        <f t="shared" si="3"/>
        <v/>
      </c>
      <c r="I117" s="391"/>
    </row>
    <row r="118" spans="1:9" x14ac:dyDescent="0.25">
      <c r="A118" s="68"/>
      <c r="B118" s="8"/>
      <c r="C118" s="8"/>
      <c r="D118" s="389"/>
      <c r="E118" s="444"/>
      <c r="F118" s="398" t="str">
        <f t="shared" si="2"/>
        <v/>
      </c>
      <c r="G118" s="395"/>
      <c r="H118" s="387" t="str">
        <f t="shared" si="3"/>
        <v/>
      </c>
      <c r="I118" s="391"/>
    </row>
    <row r="119" spans="1:9" x14ac:dyDescent="0.25">
      <c r="A119" s="68"/>
      <c r="B119" s="8"/>
      <c r="C119" s="8"/>
      <c r="D119" s="389"/>
      <c r="E119" s="444"/>
      <c r="F119" s="398" t="str">
        <f t="shared" si="2"/>
        <v/>
      </c>
      <c r="G119" s="395"/>
      <c r="H119" s="387" t="str">
        <f t="shared" si="3"/>
        <v/>
      </c>
      <c r="I119" s="391"/>
    </row>
    <row r="120" spans="1:9" x14ac:dyDescent="0.25">
      <c r="A120" s="68"/>
      <c r="B120" s="8"/>
      <c r="C120" s="8"/>
      <c r="D120" s="389"/>
      <c r="E120" s="444"/>
      <c r="F120" s="398" t="str">
        <f t="shared" si="2"/>
        <v/>
      </c>
      <c r="G120" s="395"/>
      <c r="H120" s="387" t="str">
        <f t="shared" si="3"/>
        <v/>
      </c>
      <c r="I120" s="391"/>
    </row>
    <row r="121" spans="1:9" x14ac:dyDescent="0.25">
      <c r="A121" s="68"/>
      <c r="B121" s="8"/>
      <c r="C121" s="8"/>
      <c r="D121" s="389"/>
      <c r="E121" s="444"/>
      <c r="F121" s="398" t="str">
        <f t="shared" si="2"/>
        <v/>
      </c>
      <c r="G121" s="395"/>
      <c r="H121" s="387" t="str">
        <f t="shared" si="3"/>
        <v/>
      </c>
      <c r="I121" s="391"/>
    </row>
    <row r="122" spans="1:9" ht="15.75" thickBot="1" x14ac:dyDescent="0.3">
      <c r="A122" s="79"/>
      <c r="B122" s="9"/>
      <c r="C122" s="9"/>
      <c r="D122" s="390"/>
      <c r="E122" s="445"/>
      <c r="F122" s="398" t="str">
        <f t="shared" si="2"/>
        <v/>
      </c>
      <c r="G122" s="396"/>
      <c r="H122" s="387" t="str">
        <f t="shared" si="3"/>
        <v/>
      </c>
      <c r="I122" s="391"/>
    </row>
  </sheetData>
  <sheetProtection selectLockedCells="1"/>
  <mergeCells count="9">
    <mergeCell ref="C10:D11"/>
    <mergeCell ref="C3:I3"/>
    <mergeCell ref="C12:D13"/>
    <mergeCell ref="A1:I1"/>
    <mergeCell ref="A2:I2"/>
    <mergeCell ref="C4:D5"/>
    <mergeCell ref="C6:D7"/>
    <mergeCell ref="C8:D9"/>
    <mergeCell ref="H4:H13"/>
  </mergeCells>
  <pageMargins left="0.7" right="0.7" top="0.75" bottom="0.75" header="0.3" footer="0.3"/>
  <pageSetup paperSize="9" scale="59" orientation="portrait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ctualiser_tout">
                <anchor moveWithCells="1" sizeWithCells="1">
                  <from>
                    <xdr:col>10</xdr:col>
                    <xdr:colOff>123825</xdr:colOff>
                    <xdr:row>15</xdr:row>
                    <xdr:rowOff>38100</xdr:rowOff>
                  </from>
                  <to>
                    <xdr:col>11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ctualiser_tout">
                <anchor moveWithCells="1" sizeWithCells="1">
                  <from>
                    <xdr:col>11</xdr:col>
                    <xdr:colOff>561975</xdr:colOff>
                    <xdr:row>15</xdr:row>
                    <xdr:rowOff>38100</xdr:rowOff>
                  </from>
                  <to>
                    <xdr:col>12</xdr:col>
                    <xdr:colOff>466725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ctualiser_tout">
                <anchor moveWithCells="1" sizeWithCells="1">
                  <from>
                    <xdr:col>12</xdr:col>
                    <xdr:colOff>571500</xdr:colOff>
                    <xdr:row>15</xdr:row>
                    <xdr:rowOff>38100</xdr:rowOff>
                  </from>
                  <to>
                    <xdr:col>13</xdr:col>
                    <xdr:colOff>571500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F3200-250F-4FCC-B098-BB4E1321BB11}">
  <sheetPr codeName="Feuil2"/>
  <dimension ref="B1:O6"/>
  <sheetViews>
    <sheetView workbookViewId="0">
      <selection activeCell="H12" sqref="H12"/>
    </sheetView>
  </sheetViews>
  <sheetFormatPr baseColWidth="10" defaultRowHeight="15" x14ac:dyDescent="0.25"/>
  <cols>
    <col min="1" max="1" width="4.28515625" customWidth="1"/>
    <col min="2" max="2" width="6.42578125" customWidth="1"/>
    <col min="3" max="3" width="12.7109375" customWidth="1"/>
    <col min="4" max="4" width="45.7109375" customWidth="1"/>
    <col min="5" max="5" width="7.140625" customWidth="1"/>
    <col min="6" max="6" width="6.140625" customWidth="1"/>
    <col min="7" max="7" width="6.28515625" customWidth="1"/>
    <col min="8" max="8" width="7.140625" customWidth="1"/>
    <col min="9" max="9" width="6.28515625" customWidth="1"/>
    <col min="10" max="10" width="6" customWidth="1"/>
    <col min="11" max="11" width="8.85546875" customWidth="1"/>
    <col min="13" max="13" width="45.7109375" customWidth="1"/>
    <col min="14" max="14" width="6.5703125" customWidth="1"/>
    <col min="15" max="15" width="34" customWidth="1"/>
  </cols>
  <sheetData>
    <row r="1" spans="2:15" x14ac:dyDescent="0.25">
      <c r="D1" s="86" t="s">
        <v>155</v>
      </c>
    </row>
    <row r="2" spans="2:15" x14ac:dyDescent="0.25">
      <c r="D2" s="86" t="s">
        <v>154</v>
      </c>
      <c r="E2" s="85"/>
    </row>
    <row r="3" spans="2:15" x14ac:dyDescent="0.25">
      <c r="D3" s="86" t="s">
        <v>38</v>
      </c>
      <c r="E3" s="85"/>
    </row>
    <row r="4" spans="2:15" ht="15.75" thickBot="1" x14ac:dyDescent="0.3">
      <c r="B4" s="89" t="s">
        <v>36</v>
      </c>
      <c r="D4" s="86" t="s">
        <v>37</v>
      </c>
      <c r="E4" s="85"/>
    </row>
    <row r="5" spans="2:15" ht="15.75" thickBot="1" x14ac:dyDescent="0.3">
      <c r="B5" s="41" t="s">
        <v>29</v>
      </c>
      <c r="C5" s="42" t="s">
        <v>0</v>
      </c>
      <c r="D5" s="43" t="s">
        <v>1</v>
      </c>
      <c r="E5" s="43" t="s">
        <v>2</v>
      </c>
      <c r="F5" s="239" t="s">
        <v>30</v>
      </c>
      <c r="G5" s="239" t="s">
        <v>31</v>
      </c>
      <c r="H5" s="239" t="s">
        <v>32</v>
      </c>
      <c r="I5" s="239" t="s">
        <v>33</v>
      </c>
      <c r="J5" s="239" t="s">
        <v>34</v>
      </c>
      <c r="K5" s="239" t="s">
        <v>35</v>
      </c>
      <c r="M5" s="6" t="s">
        <v>1</v>
      </c>
      <c r="N5" s="6" t="s">
        <v>2</v>
      </c>
      <c r="O5" s="10" t="s">
        <v>3</v>
      </c>
    </row>
    <row r="6" spans="2:15" ht="15.75" thickBot="1" x14ac:dyDescent="0.3">
      <c r="B6" s="237" t="s">
        <v>252</v>
      </c>
      <c r="C6" s="236"/>
      <c r="D6" s="235"/>
      <c r="E6" s="238"/>
      <c r="F6" s="240"/>
      <c r="G6" s="241"/>
      <c r="H6" s="242"/>
      <c r="I6" s="242"/>
      <c r="J6" s="242"/>
      <c r="K6" s="243"/>
      <c r="M6" s="44"/>
      <c r="N6" s="44"/>
      <c r="O6" s="16"/>
    </row>
  </sheetData>
  <dataValidations count="1">
    <dataValidation type="list" allowBlank="1" showInputMessage="1" showErrorMessage="1" sqref="N6" xr:uid="{02BE7EC0-51C9-45A1-8CC0-DAF827C854C7}">
      <formula1>"M,F"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21</vt:i4>
      </vt:variant>
    </vt:vector>
  </HeadingPairs>
  <TitlesOfParts>
    <vt:vector size="37" baseType="lpstr">
      <vt:lpstr>LOG</vt:lpstr>
      <vt:lpstr>P1</vt:lpstr>
      <vt:lpstr>P2</vt:lpstr>
      <vt:lpstr>EXAM1</vt:lpstr>
      <vt:lpstr>SEM1</vt:lpstr>
      <vt:lpstr>P3</vt:lpstr>
      <vt:lpstr>DashBoard</vt:lpstr>
      <vt:lpstr>P4</vt:lpstr>
      <vt:lpstr>EXAM2</vt:lpstr>
      <vt:lpstr>SEM2</vt:lpstr>
      <vt:lpstr>TOT</vt:lpstr>
      <vt:lpstr>Bulletin</vt:lpstr>
      <vt:lpstr>Eleves</vt:lpstr>
      <vt:lpstr>LPR</vt:lpstr>
      <vt:lpstr>PROC1</vt:lpstr>
      <vt:lpstr>ModelFiche</vt:lpstr>
      <vt:lpstr>ELEV_ACTIF_LIST</vt:lpstr>
      <vt:lpstr>ELEV_NS</vt:lpstr>
      <vt:lpstr>ELEVES</vt:lpstr>
      <vt:lpstr>EXAM_1</vt:lpstr>
      <vt:lpstr>EXAM_2</vt:lpstr>
      <vt:lpstr>LIST_MAT_ACTIFS</vt:lpstr>
      <vt:lpstr>MAT_LIST</vt:lpstr>
      <vt:lpstr>PR_1</vt:lpstr>
      <vt:lpstr>PR_2</vt:lpstr>
      <vt:lpstr>PR_22</vt:lpstr>
      <vt:lpstr>PR_3</vt:lpstr>
      <vt:lpstr>PR_4</vt:lpstr>
      <vt:lpstr>PR_éé</vt:lpstr>
      <vt:lpstr>SEM_1</vt:lpstr>
      <vt:lpstr>LPR!SEM_2</vt:lpstr>
      <vt:lpstr>PROC1!SEM_2</vt:lpstr>
      <vt:lpstr>SEM_2</vt:lpstr>
      <vt:lpstr>TOT</vt:lpstr>
      <vt:lpstr>Bulletin!Zone_d_impression</vt:lpstr>
      <vt:lpstr>LPR!Zone_d_impression</vt:lpstr>
      <vt:lpstr>PROC1!Zone_d_impression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ntwalilwaboshiyves@gmail.com</dc:creator>
  <cp:lastModifiedBy>IMANI LWABO Salomon</cp:lastModifiedBy>
  <cp:lastPrinted>2025-11-19T12:38:21Z</cp:lastPrinted>
  <dcterms:created xsi:type="dcterms:W3CDTF">2025-11-12T22:00:17Z</dcterms:created>
  <dcterms:modified xsi:type="dcterms:W3CDTF">2025-11-19T20:03:11Z</dcterms:modified>
</cp:coreProperties>
</file>